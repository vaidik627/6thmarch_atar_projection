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8600" yWindow="-3000" windowWidth="30600" windowHeight="272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ansaction Fees" sheetId="2" state="visible" r:id="rId2"/>
  </sheets>
  <definedNames>
    <definedName name="_xlnm.Print_Area" localSheetId="0">'Sheet1'!$A$1:$Q$65</definedName>
  </definedNames>
  <calcPr calcId="191028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0.0%"/>
    <numFmt numFmtId="166" formatCode="_(* #,##0_);_(* \(#,##0\);_(* &quot;-&quot;??_);_(@_)"/>
    <numFmt numFmtId="167" formatCode="_(* #,##0.0_);_(* \(#,##0.0\);_(* &quot;-&quot;?_);_(@_)"/>
  </numFmts>
  <fonts count="7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0070C0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theme="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8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44" fontId="1" fillId="0" borderId="0"/>
    <xf numFmtId="9" fontId="1" fillId="0" borderId="0"/>
  </cellStyleXfs>
  <cellXfs count="85">
    <xf numFmtId="0" fontId="0" fillId="0" borderId="0" pivotButton="0" quotePrefix="0" xfId="0"/>
    <xf numFmtId="9" fontId="3" fillId="0" borderId="0" pivotButton="0" quotePrefix="0" xfId="0"/>
    <xf numFmtId="0" fontId="3" fillId="0" borderId="0" pivotButton="0" quotePrefix="0" xfId="0"/>
    <xf numFmtId="164" fontId="0" fillId="0" borderId="0" pivotButton="0" quotePrefix="0" xfId="2"/>
    <xf numFmtId="164" fontId="0" fillId="0" borderId="0" pivotButton="0" quotePrefix="0" xfId="0"/>
    <xf numFmtId="164" fontId="3" fillId="0" borderId="0" pivotButton="0" quotePrefix="0" xfId="2"/>
    <xf numFmtId="0" fontId="2" fillId="0" borderId="0" pivotButton="0" quotePrefix="0" xfId="0"/>
    <xf numFmtId="164" fontId="2" fillId="0" borderId="0" pivotButton="0" quotePrefix="0" xfId="2"/>
    <xf numFmtId="164" fontId="2" fillId="0" borderId="2" pivotButton="0" quotePrefix="0" xfId="0"/>
    <xf numFmtId="43" fontId="0" fillId="0" borderId="0" pivotButton="0" quotePrefix="0" xfId="1"/>
    <xf numFmtId="10" fontId="3" fillId="0" borderId="0" pivotButton="0" quotePrefix="0" xfId="3"/>
    <xf numFmtId="0" fontId="2" fillId="0" borderId="0" applyAlignment="1" pivotButton="0" quotePrefix="0" xfId="0">
      <alignment horizontal="center"/>
    </xf>
    <xf numFmtId="164" fontId="0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/>
    </xf>
    <xf numFmtId="0" fontId="5" fillId="0" borderId="0" pivotButton="0" quotePrefix="0" xfId="0"/>
    <xf numFmtId="43" fontId="0" fillId="0" borderId="3" pivotButton="0" quotePrefix="0" xfId="1"/>
    <xf numFmtId="0" fontId="2" fillId="3" borderId="0" applyAlignment="1" pivotButton="0" quotePrefix="0" xfId="0">
      <alignment horizontal="center"/>
    </xf>
    <xf numFmtId="43" fontId="2" fillId="0" borderId="0" pivotButton="0" quotePrefix="0" xfId="1"/>
    <xf numFmtId="165" fontId="5" fillId="0" borderId="0" pivotButton="0" quotePrefix="0" xfId="3"/>
    <xf numFmtId="0" fontId="0" fillId="0" borderId="0" applyAlignment="1" pivotButton="0" quotePrefix="0" xfId="0">
      <alignment horizontal="left" indent="2"/>
    </xf>
    <xf numFmtId="164" fontId="3" fillId="4" borderId="0" pivotButton="0" quotePrefix="0" xfId="2"/>
    <xf numFmtId="9" fontId="3" fillId="4" borderId="0" pivotButton="0" quotePrefix="0" xfId="2"/>
    <xf numFmtId="10" fontId="3" fillId="4" borderId="0" pivotButton="0" quotePrefix="0" xfId="0"/>
    <xf numFmtId="9" fontId="3" fillId="4" borderId="0" pivotButton="0" quotePrefix="0" xfId="0"/>
    <xf numFmtId="0" fontId="3" fillId="4" borderId="0" pivotButton="0" quotePrefix="0" xfId="0"/>
    <xf numFmtId="9" fontId="3" fillId="4" borderId="3" pivotButton="0" quotePrefix="0" xfId="0"/>
    <xf numFmtId="43" fontId="3" fillId="4" borderId="0" pivotButton="0" quotePrefix="0" xfId="1"/>
    <xf numFmtId="0" fontId="0" fillId="5" borderId="0" pivotButton="0" quotePrefix="0" xfId="0"/>
    <xf numFmtId="0" fontId="0" fillId="0" borderId="0" pivotButton="0" quotePrefix="1" xfId="0"/>
    <xf numFmtId="14" fontId="0" fillId="0" borderId="0" pivotButton="0" quotePrefix="0" xfId="2"/>
    <xf numFmtId="164" fontId="0" fillId="0" borderId="3" pivotButton="0" quotePrefix="0" xfId="2"/>
    <xf numFmtId="164" fontId="0" fillId="0" borderId="3" pivotButton="0" quotePrefix="0" xfId="0"/>
    <xf numFmtId="166" fontId="3" fillId="0" borderId="0" pivotButton="0" quotePrefix="0" xfId="2"/>
    <xf numFmtId="166" fontId="0" fillId="0" borderId="0" pivotButton="0" quotePrefix="0" xfId="2"/>
    <xf numFmtId="166" fontId="3" fillId="0" borderId="0" pivotButton="0" quotePrefix="0" xfId="1"/>
    <xf numFmtId="166" fontId="0" fillId="0" borderId="0" pivotButton="0" quotePrefix="0" xfId="1"/>
    <xf numFmtId="166" fontId="2" fillId="0" borderId="0" pivotButton="0" quotePrefix="0" xfId="1"/>
    <xf numFmtId="166" fontId="3" fillId="0" borderId="3" pivotButton="0" quotePrefix="0" xfId="1"/>
    <xf numFmtId="166" fontId="0" fillId="0" borderId="3" pivotButton="0" quotePrefix="0" xfId="1"/>
    <xf numFmtId="166" fontId="0" fillId="0" borderId="0" pivotButton="0" quotePrefix="0" xfId="0"/>
    <xf numFmtId="166" fontId="3" fillId="0" borderId="3" pivotButton="0" quotePrefix="0" xfId="0"/>
    <xf numFmtId="166" fontId="0" fillId="0" borderId="3" pivotButton="0" quotePrefix="0" xfId="0"/>
    <xf numFmtId="166" fontId="3" fillId="4" borderId="0" pivotButton="0" quotePrefix="0" xfId="1"/>
    <xf numFmtId="166" fontId="0" fillId="5" borderId="0" pivotButton="0" quotePrefix="0" xfId="0"/>
    <xf numFmtId="166" fontId="2" fillId="0" borderId="0" pivotButton="0" quotePrefix="0" xfId="0"/>
    <xf numFmtId="166" fontId="2" fillId="0" borderId="2" pivotButton="0" quotePrefix="0" xfId="0"/>
    <xf numFmtId="164" fontId="2" fillId="0" borderId="1" applyAlignment="1" pivotButton="0" quotePrefix="0" xfId="2">
      <alignment horizontal="center"/>
    </xf>
    <xf numFmtId="0" fontId="6" fillId="5" borderId="0" pivotButton="0" quotePrefix="0" xfId="0"/>
    <xf numFmtId="43" fontId="2" fillId="0" borderId="0" pivotButton="0" quotePrefix="0" xfId="0"/>
    <xf numFmtId="166" fontId="3" fillId="0" borderId="0" pivotButton="0" quotePrefix="0" xfId="1"/>
    <xf numFmtId="166" fontId="1" fillId="0" borderId="0" pivotButton="0" quotePrefix="0" xfId="1"/>
    <xf numFmtId="167" fontId="0" fillId="0" borderId="0" pivotButton="0" quotePrefix="0" xfId="1"/>
    <xf numFmtId="0" fontId="0" fillId="4" borderId="0" pivotButton="0" quotePrefix="0" xfId="0"/>
    <xf numFmtId="0" fontId="2" fillId="0" borderId="1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0" fillId="0" borderId="0" pivotButton="0" quotePrefix="0" xfId="2"/>
    <xf numFmtId="0" fontId="0" fillId="0" borderId="1" pivotButton="0" quotePrefix="0" xfId="0"/>
    <xf numFmtId="164" fontId="3" fillId="4" borderId="0" pivotButton="0" quotePrefix="0" xfId="2"/>
    <xf numFmtId="164" fontId="0" fillId="0" borderId="0" pivotButton="0" quotePrefix="0" xfId="0"/>
    <xf numFmtId="166" fontId="3" fillId="0" borderId="0" pivotButton="0" quotePrefix="0" xfId="2"/>
    <xf numFmtId="166" fontId="0" fillId="0" borderId="0" pivotButton="0" quotePrefix="0" xfId="2"/>
    <xf numFmtId="165" fontId="5" fillId="0" borderId="0" pivotButton="0" quotePrefix="0" xfId="3"/>
    <xf numFmtId="164" fontId="3" fillId="0" borderId="0" pivotButton="0" quotePrefix="0" xfId="2"/>
    <xf numFmtId="166" fontId="3" fillId="0" borderId="0" pivotButton="0" quotePrefix="0" xfId="1"/>
    <xf numFmtId="166" fontId="0" fillId="0" borderId="0" pivotButton="0" quotePrefix="0" xfId="1"/>
    <xf numFmtId="166" fontId="1" fillId="0" borderId="0" pivotButton="0" quotePrefix="0" xfId="1"/>
    <xf numFmtId="166" fontId="2" fillId="0" borderId="0" pivotButton="0" quotePrefix="0" xfId="1"/>
    <xf numFmtId="164" fontId="0" fillId="2" borderId="0" pivotButton="0" quotePrefix="0" xfId="0"/>
    <xf numFmtId="164" fontId="2" fillId="0" borderId="0" pivotButton="0" quotePrefix="0" xfId="2"/>
    <xf numFmtId="164" fontId="2" fillId="0" borderId="2" pivotButton="0" quotePrefix="0" xfId="0"/>
    <xf numFmtId="166" fontId="3" fillId="0" borderId="3" pivotButton="0" quotePrefix="0" xfId="1"/>
    <xf numFmtId="166" fontId="0" fillId="0" borderId="3" pivotButton="0" quotePrefix="0" xfId="1"/>
    <xf numFmtId="166" fontId="0" fillId="0" borderId="0" pivotButton="0" quotePrefix="0" xfId="0"/>
    <xf numFmtId="166" fontId="3" fillId="0" borderId="3" pivotButton="0" quotePrefix="0" xfId="0"/>
    <xf numFmtId="166" fontId="0" fillId="0" borderId="3" pivotButton="0" quotePrefix="0" xfId="0"/>
    <xf numFmtId="0" fontId="0" fillId="0" borderId="4" pivotButton="0" quotePrefix="0" xfId="0"/>
    <xf numFmtId="166" fontId="3" fillId="4" borderId="0" pivotButton="0" quotePrefix="0" xfId="1"/>
    <xf numFmtId="167" fontId="0" fillId="0" borderId="0" pivotButton="0" quotePrefix="0" xfId="1"/>
    <xf numFmtId="166" fontId="0" fillId="5" borderId="0" pivotButton="0" quotePrefix="0" xfId="0"/>
    <xf numFmtId="164" fontId="0" fillId="0" borderId="3" pivotButton="0" quotePrefix="0" xfId="2"/>
    <xf numFmtId="166" fontId="2" fillId="0" borderId="0" pivotButton="0" quotePrefix="0" xfId="0"/>
    <xf numFmtId="166" fontId="2" fillId="0" borderId="2" pivotButton="0" quotePrefix="0" xfId="0"/>
    <xf numFmtId="164" fontId="2" fillId="0" borderId="1" applyAlignment="1" pivotButton="0" quotePrefix="0" xfId="2">
      <alignment horizontal="center"/>
    </xf>
    <xf numFmtId="164" fontId="0" fillId="0" borderId="3" pivotButton="0" quotePrefix="0" xfId="0"/>
  </cellXfs>
  <cellStyles count="4">
    <cellStyle name="Normal" xfId="0" builtinId="0"/>
    <cellStyle name="Comma" xfId="1" builtinId="3"/>
    <cellStyle name="Currency" xfId="2" builtinId="4"/>
    <cellStyle name="Percent" xfId="3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tc={DFDD15B9-F2D1-A242-B824-7B57660BDF48}</author>
  </authors>
  <commentList>
    <comment ref="C8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$3,094 of total is “in Transit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8"/>
  <sheetViews>
    <sheetView tabSelected="1" zoomScale="120" zoomScaleNormal="12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8" sqref="C28"/>
    </sheetView>
  </sheetViews>
  <sheetFormatPr baseColWidth="10" defaultColWidth="11" defaultRowHeight="16"/>
  <cols>
    <col width="4.33203125" customWidth="1" min="1" max="1"/>
    <col width="24.83203125" customWidth="1" min="2" max="2"/>
    <col width="12.5" bestFit="1" customWidth="1" style="56" min="3" max="3"/>
    <col width="4.6640625" bestFit="1" customWidth="1" min="4" max="4"/>
    <col width="11.5" bestFit="1" customWidth="1" min="5" max="5"/>
    <col width="4.6640625" customWidth="1" min="6" max="6"/>
    <col width="30.83203125" customWidth="1" min="7" max="7"/>
    <col width="9.33203125" customWidth="1" min="8" max="8"/>
    <col width="9.5" customWidth="1" min="9" max="10"/>
    <col width="11.5" bestFit="1" customWidth="1" min="11" max="11"/>
    <col width="9.5" customWidth="1" min="12" max="16"/>
  </cols>
  <sheetData>
    <row r="1" ht="24" customHeight="1">
      <c r="A1" s="13" t="inlineStr">
        <is>
          <t>Project Leisure Invest North America Inc.</t>
        </is>
      </c>
    </row>
    <row r="2">
      <c r="A2" t="inlineStr">
        <is>
          <t>Atar Capital Prebid Analysis</t>
        </is>
      </c>
    </row>
    <row r="4">
      <c r="B4" s="54" t="inlineStr">
        <is>
          <t>Sources</t>
        </is>
      </c>
      <c r="C4" s="57" t="n"/>
      <c r="D4" s="57" t="n"/>
      <c r="E4" s="57" t="n"/>
      <c r="G4" s="6" t="inlineStr">
        <is>
          <t>(Amount in 000's)</t>
        </is>
      </c>
      <c r="I4" s="11" t="inlineStr">
        <is>
          <t>FY24</t>
        </is>
      </c>
      <c r="J4" s="11" t="inlineStr">
        <is>
          <t>FY25</t>
        </is>
      </c>
      <c r="K4" s="11" t="inlineStr">
        <is>
          <t>FY26B</t>
        </is>
      </c>
      <c r="L4" s="17" t="inlineStr">
        <is>
          <t>Year 1</t>
        </is>
      </c>
      <c r="M4" s="17" t="inlineStr">
        <is>
          <t>Year 2</t>
        </is>
      </c>
      <c r="N4" s="17" t="inlineStr">
        <is>
          <t>Year 3</t>
        </is>
      </c>
      <c r="O4" s="17" t="inlineStr">
        <is>
          <t>Year 4</t>
        </is>
      </c>
      <c r="P4" s="17" t="inlineStr">
        <is>
          <t>Year 5</t>
        </is>
      </c>
    </row>
    <row r="5">
      <c r="B5" s="11" t="n"/>
      <c r="C5" s="11" t="n"/>
      <c r="D5" s="11" t="n"/>
      <c r="E5" s="11" t="n"/>
    </row>
    <row r="6">
      <c r="C6" s="30" t="n">
        <v>46086</v>
      </c>
    </row>
    <row r="7">
      <c r="B7" t="inlineStr">
        <is>
          <t>AR</t>
        </is>
      </c>
      <c r="C7" s="58" t="n">
        <v>60800</v>
      </c>
      <c r="D7" s="1" t="n">
        <v>0.75</v>
      </c>
      <c r="E7" s="59">
        <f>C7*D7</f>
        <v/>
      </c>
      <c r="G7" t="inlineStr">
        <is>
          <t>Net Revenue</t>
        </is>
      </c>
      <c r="I7" s="60" t="n">
        <v>51300</v>
      </c>
      <c r="J7" s="60" t="n">
        <v>55700</v>
      </c>
      <c r="K7" s="60" t="n">
        <v>60800</v>
      </c>
      <c r="L7" s="61" t="n">
        <v>66190.89</v>
      </c>
      <c r="M7" s="61" t="n">
        <v>72059.77</v>
      </c>
      <c r="N7" s="61" t="n">
        <v>78449.02</v>
      </c>
      <c r="O7" s="61" t="n">
        <v>85404.78</v>
      </c>
      <c r="P7" s="61" t="n">
        <v>92977.28</v>
      </c>
    </row>
    <row r="8">
      <c r="B8" t="inlineStr">
        <is>
          <t>Inventory</t>
        </is>
      </c>
      <c r="C8" s="58" t="n">
        <v>46400</v>
      </c>
      <c r="D8" s="1" t="n">
        <v>0.7</v>
      </c>
      <c r="E8" s="59">
        <f>C8*D8</f>
        <v/>
      </c>
      <c r="G8" s="15" t="inlineStr">
        <is>
          <t>Growth Rate</t>
        </is>
      </c>
      <c r="H8" s="15" t="n"/>
      <c r="I8" s="15" t="n"/>
      <c r="J8" s="62">
        <f>(J7-I7)/I7</f>
        <v/>
      </c>
      <c r="K8" s="62">
        <f>(K7-J7)/J7</f>
        <v/>
      </c>
      <c r="L8" s="62">
        <f>(L7-K7)/K7</f>
        <v/>
      </c>
      <c r="M8" s="62">
        <f>(M7-L7)/L7</f>
        <v/>
      </c>
      <c r="N8" s="62">
        <f>(N7-M7)/M7</f>
        <v/>
      </c>
      <c r="O8" s="62">
        <f>(O7-N7)/N7</f>
        <v/>
      </c>
      <c r="P8" s="62">
        <f>(P7-O7)/O7</f>
        <v/>
      </c>
    </row>
    <row r="9">
      <c r="B9" t="inlineStr">
        <is>
          <t>M&amp;E Equipment</t>
        </is>
      </c>
      <c r="C9" s="58" t="n">
        <v>1000</v>
      </c>
      <c r="D9" s="1" t="n">
        <v>0</v>
      </c>
      <c r="E9" s="59">
        <f>C9*D9</f>
        <v/>
      </c>
    </row>
    <row r="10">
      <c r="C10" s="63" t="n"/>
      <c r="G10" t="inlineStr">
        <is>
          <t>Gross Margin</t>
        </is>
      </c>
      <c r="I10" s="64" t="n">
        <v>4200</v>
      </c>
      <c r="J10" s="64" t="n">
        <v>3900</v>
      </c>
      <c r="K10" s="64" t="n">
        <v>3300</v>
      </c>
      <c r="L10" s="65" t="n">
        <v>4548.76</v>
      </c>
      <c r="M10" s="65" t="n">
        <v>4952.08</v>
      </c>
      <c r="N10" s="65" t="n">
        <v>5391.16</v>
      </c>
      <c r="O10" s="65" t="n">
        <v>5869.18</v>
      </c>
      <c r="P10" s="65" t="n">
        <v>6389.57</v>
      </c>
    </row>
    <row r="11">
      <c r="B11" t="inlineStr">
        <is>
          <t>Building &amp; Land</t>
        </is>
      </c>
      <c r="C11" s="58" t="n">
        <v>0</v>
      </c>
      <c r="D11" s="1" t="n">
        <v>0.5</v>
      </c>
      <c r="E11" s="59">
        <f>C11*D11</f>
        <v/>
      </c>
      <c r="G11" s="15" t="inlineStr">
        <is>
          <t>GM%</t>
        </is>
      </c>
      <c r="H11" s="15" t="n"/>
      <c r="I11" s="62">
        <f>I10/I7</f>
        <v/>
      </c>
      <c r="J11" s="62">
        <f>J10/J7</f>
        <v/>
      </c>
      <c r="K11" s="62">
        <f>K10/K7</f>
        <v/>
      </c>
      <c r="L11" s="62">
        <f>L10/L7</f>
        <v/>
      </c>
      <c r="M11" s="62">
        <f>M10/M7</f>
        <v/>
      </c>
      <c r="N11" s="62">
        <f>N10/N7</f>
        <v/>
      </c>
      <c r="O11" s="62">
        <f>O10/O7</f>
        <v/>
      </c>
      <c r="P11" s="62">
        <f>P10/P7</f>
        <v/>
      </c>
    </row>
    <row r="12">
      <c r="B12" t="inlineStr">
        <is>
          <t>Term Loans/Cashflow loans</t>
        </is>
      </c>
      <c r="C12" s="58" t="n">
        <v>0</v>
      </c>
      <c r="D12" s="2" t="n"/>
      <c r="E12" s="59">
        <f>C12</f>
        <v/>
      </c>
    </row>
    <row r="13">
      <c r="D13" s="2" t="n"/>
      <c r="G13" t="inlineStr">
        <is>
          <t>SG&amp;A</t>
        </is>
      </c>
      <c r="I13" s="64" t="n">
        <v>0</v>
      </c>
      <c r="J13" s="64" t="n">
        <v>0</v>
      </c>
      <c r="K13" s="64" t="n">
        <v>0</v>
      </c>
      <c r="L13" s="65" t="n">
        <v>13238.18</v>
      </c>
      <c r="M13" s="65" t="n">
        <v>14411.95</v>
      </c>
      <c r="N13" s="65" t="n">
        <v>15689.8</v>
      </c>
      <c r="O13" s="65" t="n">
        <v>17080.96</v>
      </c>
      <c r="P13" s="65" t="n">
        <v>18595.46</v>
      </c>
    </row>
    <row r="14">
      <c r="B14" t="inlineStr">
        <is>
          <t>Seller Note</t>
        </is>
      </c>
      <c r="C14" s="58" t="n">
        <v>0</v>
      </c>
      <c r="D14" s="2" t="n"/>
      <c r="E14" s="59">
        <f>C14</f>
        <v/>
      </c>
      <c r="I14" s="16" t="n"/>
      <c r="J14" s="16" t="n"/>
      <c r="K14" s="16" t="n"/>
      <c r="L14" s="16" t="n"/>
      <c r="M14" s="16" t="n"/>
      <c r="N14" s="16" t="n"/>
      <c r="O14" s="16" t="n"/>
      <c r="P14" s="16" t="n"/>
    </row>
    <row r="15">
      <c r="D15" s="2" t="n"/>
      <c r="G15" t="inlineStr">
        <is>
          <t>Operating Income</t>
        </is>
      </c>
      <c r="I15" s="64">
        <f>I10-I13</f>
        <v/>
      </c>
      <c r="J15" s="64">
        <f>J10-J13</f>
        <v/>
      </c>
      <c r="K15" s="64">
        <f>K10-K13</f>
        <v/>
      </c>
      <c r="L15" s="66">
        <f>L10-L13</f>
        <v/>
      </c>
      <c r="M15" s="66">
        <f>M10-M13</f>
        <v/>
      </c>
      <c r="N15" s="66">
        <f>N10-N13</f>
        <v/>
      </c>
      <c r="O15" s="66">
        <f>O10-O13</f>
        <v/>
      </c>
      <c r="P15" s="66">
        <f>P10-P13</f>
        <v/>
      </c>
    </row>
    <row r="16">
      <c r="B16" t="inlineStr">
        <is>
          <t>Earnout</t>
        </is>
      </c>
      <c r="C16" s="58" t="n">
        <v>0</v>
      </c>
      <c r="D16" s="2" t="n"/>
      <c r="E16" s="59">
        <f>C16</f>
        <v/>
      </c>
      <c r="G16" t="inlineStr">
        <is>
          <t>1X expenses/Adjustments</t>
        </is>
      </c>
      <c r="I16" s="64" t="n"/>
      <c r="J16" s="64" t="n"/>
      <c r="K16" s="64" t="n"/>
      <c r="L16" s="65" t="n"/>
      <c r="M16" s="65" t="n"/>
      <c r="N16" s="65" t="n"/>
      <c r="O16" s="65" t="n"/>
      <c r="P16" s="65" t="n"/>
    </row>
    <row r="17">
      <c r="D17" s="2" t="n"/>
      <c r="I17" s="16" t="n">
        <v>-48</v>
      </c>
      <c r="J17" s="16" t="n">
        <v>0</v>
      </c>
      <c r="K17" s="16" t="n">
        <v>845</v>
      </c>
      <c r="L17" s="16" t="n">
        <v>0</v>
      </c>
      <c r="M17" s="16" t="n">
        <v>0</v>
      </c>
      <c r="N17" s="16" t="n">
        <v>0</v>
      </c>
      <c r="O17" s="16" t="n">
        <v>0</v>
      </c>
      <c r="P17" s="16" t="n">
        <v>0</v>
      </c>
    </row>
    <row r="18">
      <c r="B18" t="inlineStr">
        <is>
          <t>Equity Roll From Seller</t>
        </is>
      </c>
      <c r="C18" s="58" t="n">
        <v>0</v>
      </c>
      <c r="D18" s="2" t="n"/>
      <c r="E18" s="59">
        <f>C18</f>
        <v/>
      </c>
      <c r="G18" s="6" t="inlineStr">
        <is>
          <t>Adj. EBITDA</t>
        </is>
      </c>
      <c r="H18" s="6" t="n"/>
      <c r="I18" s="67">
        <f>SUM(I15:I17)</f>
        <v/>
      </c>
      <c r="J18" s="67">
        <f>SUM(J15:J17)</f>
        <v/>
      </c>
      <c r="K18" s="67">
        <f>SUM(K15:K17)</f>
        <v/>
      </c>
      <c r="L18" s="67">
        <f>L15+L17</f>
        <v/>
      </c>
      <c r="M18" s="67">
        <f>M15+M17</f>
        <v/>
      </c>
      <c r="N18" s="67">
        <f>N15+N17</f>
        <v/>
      </c>
      <c r="O18" s="67">
        <f>O15+O17</f>
        <v/>
      </c>
      <c r="P18" s="67">
        <f>P15+P17</f>
        <v/>
      </c>
    </row>
    <row r="19">
      <c r="G19" s="15" t="inlineStr">
        <is>
          <t>EBITDA%</t>
        </is>
      </c>
      <c r="H19" s="15" t="n"/>
      <c r="I19" s="62">
        <f>I18/I7</f>
        <v/>
      </c>
      <c r="J19" s="62">
        <f>J18/J7</f>
        <v/>
      </c>
      <c r="K19" s="62">
        <f>K18/K7</f>
        <v/>
      </c>
      <c r="L19" s="62">
        <f>L18/L7</f>
        <v/>
      </c>
      <c r="M19" s="62">
        <f>M18/M7</f>
        <v/>
      </c>
      <c r="N19" s="62">
        <f>N18/N7</f>
        <v/>
      </c>
      <c r="O19" s="62">
        <f>O18/O7</f>
        <v/>
      </c>
      <c r="P19" s="62">
        <f>P18/P7</f>
        <v/>
      </c>
    </row>
    <row r="20">
      <c r="B20" t="inlineStr">
        <is>
          <t>Atar Equity</t>
        </is>
      </c>
      <c r="E20" s="68">
        <f>E22-SUM(E7:E18)</f>
        <v/>
      </c>
      <c r="I20" s="9" t="n"/>
      <c r="J20" s="9" t="n"/>
      <c r="K20" s="9" t="n"/>
      <c r="L20" s="9" t="n"/>
      <c r="M20" s="9" t="n"/>
      <c r="N20" s="9" t="n"/>
      <c r="O20" s="9" t="n"/>
      <c r="P20" s="9" t="n"/>
    </row>
    <row r="21">
      <c r="G21" t="inlineStr">
        <is>
          <t>Other expense/(income)</t>
        </is>
      </c>
      <c r="I21" s="64" t="n">
        <v>0</v>
      </c>
      <c r="J21" s="64" t="n">
        <v>0</v>
      </c>
      <c r="K21" s="64" t="n">
        <v>0</v>
      </c>
      <c r="L21" s="65" t="n"/>
      <c r="M21" s="65" t="n"/>
      <c r="N21" s="65" t="n"/>
      <c r="O21" s="65" t="n"/>
      <c r="P21" s="65" t="n"/>
    </row>
    <row r="22" ht="17" customHeight="1" thickBot="1">
      <c r="B22" s="6" t="inlineStr">
        <is>
          <t>Total Sources</t>
        </is>
      </c>
      <c r="C22" s="69" t="n"/>
      <c r="D22" s="6" t="n"/>
      <c r="E22" s="70">
        <f>E34</f>
        <v/>
      </c>
      <c r="G22" t="inlineStr">
        <is>
          <t>Interest expense/(income)</t>
        </is>
      </c>
      <c r="I22" s="64" t="n"/>
      <c r="J22" s="64" t="n"/>
      <c r="K22" s="64" t="n"/>
      <c r="L22" s="65">
        <f>-L42</f>
        <v/>
      </c>
      <c r="M22" s="65">
        <f>-M42</f>
        <v/>
      </c>
      <c r="N22" s="65">
        <f>-N42</f>
        <v/>
      </c>
      <c r="O22" s="65">
        <f>-O42</f>
        <v/>
      </c>
      <c r="P22" s="65">
        <f>-P42</f>
        <v/>
      </c>
    </row>
    <row r="23" ht="17" customHeight="1" thickTop="1">
      <c r="G23" t="inlineStr">
        <is>
          <t>Depreciation expense</t>
        </is>
      </c>
      <c r="I23" s="71" t="n"/>
      <c r="J23" s="71" t="n"/>
      <c r="K23" s="71" t="n"/>
      <c r="L23" s="72" t="n"/>
      <c r="M23" s="72" t="n"/>
      <c r="N23" s="72" t="n"/>
      <c r="O23" s="72" t="n"/>
      <c r="P23" s="72" t="n"/>
    </row>
    <row r="24">
      <c r="B24" s="54" t="inlineStr">
        <is>
          <t>Uses</t>
        </is>
      </c>
      <c r="C24" s="57" t="n"/>
      <c r="D24" s="57" t="n"/>
      <c r="E24" s="57" t="n"/>
      <c r="G24" t="inlineStr">
        <is>
          <t>Taxable Income</t>
        </is>
      </c>
      <c r="I24" s="73">
        <f>I18-SUM(I21:I23)</f>
        <v/>
      </c>
      <c r="J24" s="73">
        <f>J18-SUM(J21:J23)</f>
        <v/>
      </c>
      <c r="K24" s="73">
        <f>K18-SUM(K21:K23)</f>
        <v/>
      </c>
      <c r="L24" s="73">
        <f>L18-SUM(L21:L23)</f>
        <v/>
      </c>
      <c r="M24" s="73">
        <f>M18-SUM(M21:M23)</f>
        <v/>
      </c>
      <c r="N24" s="73">
        <f>N18-SUM(N21:N23)</f>
        <v/>
      </c>
      <c r="O24" s="73">
        <f>O18-SUM(O21:O23)</f>
        <v/>
      </c>
      <c r="P24" s="73">
        <f>P18-SUM(P21:P23)</f>
        <v/>
      </c>
    </row>
    <row r="25">
      <c r="I25" s="73" t="n"/>
      <c r="J25" s="73" t="n"/>
      <c r="K25" s="73" t="n"/>
      <c r="L25" s="73" t="n"/>
      <c r="M25" s="73" t="n"/>
      <c r="N25" s="73" t="n"/>
      <c r="O25" s="73" t="n"/>
      <c r="P25" s="73" t="n"/>
    </row>
    <row r="26">
      <c r="B26" t="inlineStr">
        <is>
          <t>EBITDA</t>
        </is>
      </c>
      <c r="C26" s="58" t="n">
        <v>-3650</v>
      </c>
      <c r="G26" t="inlineStr">
        <is>
          <t>Taxes</t>
        </is>
      </c>
      <c r="H26" s="26" t="n">
        <v>0.3</v>
      </c>
      <c r="I26" s="74" t="n"/>
      <c r="J26" s="74" t="n"/>
      <c r="K26" s="74" t="n"/>
      <c r="L26" s="75">
        <f>IF($H$26*-L24&lt;0,$H$26*-L24,0)</f>
        <v/>
      </c>
      <c r="M26" s="75">
        <f>IF($H$26*-M24&lt;0,$H$26*-M24,0)</f>
        <v/>
      </c>
      <c r="N26" s="75">
        <f>IF($H$26*-N24&lt;0,$H$26*-N24,0)</f>
        <v/>
      </c>
      <c r="O26" s="75">
        <f>IF($H$26*-O24&lt;0,$H$26*-O24,0)</f>
        <v/>
      </c>
      <c r="P26" s="75">
        <f>IF($H$26*-P24&lt;0,$H$26*-P24,0)</f>
        <v/>
      </c>
    </row>
    <row r="27">
      <c r="B27" t="inlineStr">
        <is>
          <t>Multiple</t>
        </is>
      </c>
      <c r="C27" s="27" t="n">
        <v>7</v>
      </c>
      <c r="G27" t="inlineStr">
        <is>
          <t>Net Income</t>
        </is>
      </c>
      <c r="I27" s="73">
        <f>I24+SUM(I26:I26)</f>
        <v/>
      </c>
      <c r="J27" s="73">
        <f>J24+SUM(J26:J26)</f>
        <v/>
      </c>
      <c r="K27" s="73">
        <f>K24+SUM(K26:K26)</f>
        <v/>
      </c>
      <c r="L27" s="73">
        <f>L24+SUM(L26:L26)</f>
        <v/>
      </c>
      <c r="M27" s="73">
        <f>M24+SUM(M26:M26)</f>
        <v/>
      </c>
      <c r="N27" s="73">
        <f>N24+SUM(N26:N26)</f>
        <v/>
      </c>
      <c r="O27" s="73">
        <f>O24+SUM(O26:O26)</f>
        <v/>
      </c>
      <c r="P27" s="73">
        <f>P24+SUM(P26:P26)</f>
        <v/>
      </c>
    </row>
    <row r="28">
      <c r="B28" t="inlineStr">
        <is>
          <t>Percentage Acquired</t>
        </is>
      </c>
      <c r="C28" s="22" t="n">
        <v>1</v>
      </c>
    </row>
    <row r="29">
      <c r="B29" t="inlineStr">
        <is>
          <t>Total EV Cash Free/Debt Free</t>
        </is>
      </c>
      <c r="C29" s="56">
        <f>IF(C28&lt;1,C26*C27,E30)</f>
        <v/>
      </c>
    </row>
    <row r="30" ht="17" customHeight="1" thickBot="1">
      <c r="B30" t="inlineStr">
        <is>
          <t>Purchase Price</t>
        </is>
      </c>
      <c r="E30" s="56">
        <f>C26*C27*C28</f>
        <v/>
      </c>
      <c r="G30" s="55" t="inlineStr">
        <is>
          <t>TALE OF THE TAPE</t>
        </is>
      </c>
      <c r="H30" s="76" t="n"/>
      <c r="I30" s="76" t="n"/>
      <c r="J30" s="76" t="n"/>
      <c r="K30" s="76" t="n"/>
      <c r="L30" s="76" t="n"/>
      <c r="M30" s="76" t="n"/>
      <c r="N30" s="76" t="n"/>
      <c r="O30" s="76" t="n"/>
      <c r="P30" s="76" t="n"/>
    </row>
    <row r="31">
      <c r="B31" t="inlineStr">
        <is>
          <t>Availability</t>
        </is>
      </c>
      <c r="E31" s="56">
        <f>(L7-L18)/52*2*1.1</f>
        <v/>
      </c>
      <c r="G31" t="inlineStr">
        <is>
          <t>EBITDA</t>
        </is>
      </c>
      <c r="I31" s="73">
        <f>I18</f>
        <v/>
      </c>
      <c r="J31" s="73">
        <f>J18</f>
        <v/>
      </c>
      <c r="K31" s="73">
        <f>K18</f>
        <v/>
      </c>
      <c r="L31" s="73">
        <f>L18</f>
        <v/>
      </c>
      <c r="M31" s="73">
        <f>M18</f>
        <v/>
      </c>
      <c r="N31" s="73">
        <f>N18</f>
        <v/>
      </c>
      <c r="O31" s="73">
        <f>O18</f>
        <v/>
      </c>
      <c r="P31" s="73">
        <f>P18</f>
        <v/>
      </c>
    </row>
    <row r="32">
      <c r="B32" t="inlineStr">
        <is>
          <t>Transaction Fees</t>
        </is>
      </c>
      <c r="E32" s="56">
        <f>'Transaction Fees'!E17</f>
        <v/>
      </c>
      <c r="G32" t="inlineStr">
        <is>
          <t>CAPEX (PUT in as NEGATIVE)</t>
        </is>
      </c>
      <c r="I32" s="64" t="n"/>
      <c r="J32" s="64" t="n"/>
      <c r="K32" s="64" t="n"/>
      <c r="L32" s="77" t="n">
        <v>0</v>
      </c>
      <c r="M32" s="77" t="n">
        <v>0</v>
      </c>
      <c r="N32" s="77" t="n">
        <v>0</v>
      </c>
      <c r="O32" s="77" t="n">
        <v>0</v>
      </c>
      <c r="P32" s="77" t="n">
        <v>0</v>
      </c>
    </row>
    <row r="33">
      <c r="G33" t="inlineStr">
        <is>
          <t>Working Capital Change</t>
        </is>
      </c>
      <c r="I33" s="73" t="n"/>
      <c r="J33" s="73" t="n"/>
      <c r="K33" s="73" t="n"/>
      <c r="L33" s="65">
        <f>SUM($E$7:$E$8)*-L8*0.2</f>
        <v/>
      </c>
      <c r="M33" s="78">
        <f>(L33*(1+M8)-L33)*0.2</f>
        <v/>
      </c>
      <c r="N33" s="78">
        <f>(M33*(1+N8)-M33)*0.2</f>
        <v/>
      </c>
      <c r="O33" s="78">
        <f>(N33*(1+O8)-N33)*0.2</f>
        <v/>
      </c>
      <c r="P33" s="78">
        <f>(O33*(1+P8)-O33)*0.2</f>
        <v/>
      </c>
    </row>
    <row r="34" ht="17" customHeight="1" thickBot="1">
      <c r="B34" s="6" t="inlineStr">
        <is>
          <t>Total Uses</t>
        </is>
      </c>
      <c r="C34" s="69" t="n"/>
      <c r="D34" s="6" t="n"/>
      <c r="E34" s="70">
        <f>SUM(E30:E32)</f>
        <v/>
      </c>
      <c r="G34" t="inlineStr">
        <is>
          <t>Taxes</t>
        </is>
      </c>
      <c r="H34" s="1" t="n"/>
      <c r="I34" s="75">
        <f>I26</f>
        <v/>
      </c>
      <c r="J34" s="75">
        <f>J26</f>
        <v/>
      </c>
      <c r="K34" s="75">
        <f>K26</f>
        <v/>
      </c>
      <c r="L34" s="75">
        <f>L26</f>
        <v/>
      </c>
      <c r="M34" s="75">
        <f>M26</f>
        <v/>
      </c>
      <c r="N34" s="75">
        <f>N26</f>
        <v/>
      </c>
      <c r="O34" s="75">
        <f>O26</f>
        <v/>
      </c>
      <c r="P34" s="75">
        <f>P26</f>
        <v/>
      </c>
    </row>
    <row r="35" ht="17" customHeight="1" thickTop="1">
      <c r="G35" t="inlineStr">
        <is>
          <t>Cashflow Available for Debt Service</t>
        </is>
      </c>
      <c r="I35" s="73">
        <f>SUM(I31:I34)</f>
        <v/>
      </c>
      <c r="J35" s="73">
        <f>SUM(J31:J34)</f>
        <v/>
      </c>
      <c r="K35" s="73">
        <f>SUM(K31:K34)</f>
        <v/>
      </c>
      <c r="L35" s="73">
        <f>SUM(L31:L34)</f>
        <v/>
      </c>
      <c r="M35" s="73">
        <f>SUM(M31:M34)</f>
        <v/>
      </c>
      <c r="N35" s="73">
        <f>SUM(N31:N34)</f>
        <v/>
      </c>
      <c r="O35" s="73">
        <f>SUM(O31:O34)</f>
        <v/>
      </c>
      <c r="P35" s="73">
        <f>SUM(P31:P34)</f>
        <v/>
      </c>
    </row>
    <row r="36">
      <c r="I36" s="73" t="n"/>
      <c r="J36" s="73" t="n"/>
      <c r="K36" s="73" t="n"/>
      <c r="L36" s="73" t="n"/>
      <c r="M36" s="73" t="n"/>
      <c r="N36" s="73" t="n"/>
      <c r="O36" s="73" t="n"/>
      <c r="P36" s="73" t="n"/>
    </row>
    <row r="37">
      <c r="B37" s="54" t="inlineStr">
        <is>
          <t>MOIC</t>
        </is>
      </c>
      <c r="C37" s="57" t="n"/>
      <c r="D37" s="57" t="n"/>
      <c r="E37" s="57" t="n"/>
      <c r="G37" s="48" t="inlineStr">
        <is>
          <t>DEBT SERVICE</t>
        </is>
      </c>
      <c r="H37" s="28" t="n"/>
      <c r="I37" s="79" t="n"/>
      <c r="J37" s="79" t="n"/>
      <c r="K37" s="79" t="n"/>
      <c r="L37" s="79" t="n"/>
      <c r="M37" s="79" t="n"/>
      <c r="N37" s="79" t="n"/>
      <c r="O37" s="79" t="n"/>
      <c r="P37" s="79" t="n"/>
    </row>
    <row r="38">
      <c r="G38" s="6" t="inlineStr">
        <is>
          <t>Interest</t>
        </is>
      </c>
      <c r="I38" s="73" t="n"/>
      <c r="J38" s="73" t="n"/>
      <c r="K38" s="73" t="n"/>
      <c r="L38" s="73" t="n"/>
      <c r="M38" s="73" t="n"/>
      <c r="N38" s="73" t="n"/>
      <c r="O38" s="73" t="n"/>
      <c r="P38" s="73" t="n"/>
    </row>
    <row r="39">
      <c r="B39" t="inlineStr">
        <is>
          <t>EXIT EBITDA</t>
        </is>
      </c>
      <c r="C39" s="56">
        <f>P31</f>
        <v/>
      </c>
      <c r="G39" s="20" t="inlineStr">
        <is>
          <t>ABL</t>
        </is>
      </c>
      <c r="H39" s="23" t="n">
        <v>0.045</v>
      </c>
      <c r="I39" s="73" t="n"/>
      <c r="J39" s="73" t="n"/>
      <c r="K39" s="73" t="n"/>
      <c r="L39" s="65">
        <f>-SUM(E7:E9)*H39</f>
        <v/>
      </c>
      <c r="M39" s="65">
        <f>-AVERAGE(L57)*$H$39</f>
        <v/>
      </c>
      <c r="N39" s="65">
        <f>-AVERAGE(M57)*$H$39</f>
        <v/>
      </c>
      <c r="O39" s="65">
        <f>-AVERAGE(N57)*$H$39</f>
        <v/>
      </c>
      <c r="P39" s="65">
        <f>-AVERAGE(O57)*$H$39</f>
        <v/>
      </c>
    </row>
    <row r="40">
      <c r="B40" t="inlineStr">
        <is>
          <t>Exit Multiple</t>
        </is>
      </c>
      <c r="C40" s="27" t="n">
        <v>6</v>
      </c>
      <c r="G40" s="20" t="inlineStr">
        <is>
          <t>Term</t>
        </is>
      </c>
      <c r="H40" s="23" t="n">
        <v>0.055</v>
      </c>
      <c r="I40" s="73" t="n"/>
      <c r="J40" s="73" t="n"/>
      <c r="K40" s="73" t="n"/>
      <c r="L40" s="65">
        <f>-SUM($E$11:$E$12)*$H$40</f>
        <v/>
      </c>
      <c r="M40" s="65">
        <f>-(SUM($E$11:$E$12)+L45)*$H$40</f>
        <v/>
      </c>
      <c r="N40" s="65">
        <f>-(SUM($E$11:$E$12)+L45+M45)*$H$40</f>
        <v/>
      </c>
      <c r="O40" s="65">
        <f>-(SUM($E$11:$E$12)+L45+M45+N45)*$H$40</f>
        <v/>
      </c>
      <c r="P40" s="65">
        <f>-(SUM($E$11:$E$12)+L45+M45+N45+O45)*$H$40</f>
        <v/>
      </c>
    </row>
    <row r="41">
      <c r="B41" s="6" t="inlineStr">
        <is>
          <t>EV At Exit</t>
        </is>
      </c>
      <c r="C41" s="69">
        <f>C39*C40</f>
        <v/>
      </c>
      <c r="G41" s="20" t="inlineStr">
        <is>
          <t>Seller Note</t>
        </is>
      </c>
      <c r="H41" s="24" t="n">
        <v>0.05</v>
      </c>
      <c r="I41" s="73" t="n"/>
      <c r="J41" s="73" t="n"/>
      <c r="K41" s="73" t="n"/>
      <c r="L41" s="72">
        <f>-$E$14*H41</f>
        <v/>
      </c>
      <c r="M41" s="72">
        <f>-(SUM($E$14)+L46)*$H$41</f>
        <v/>
      </c>
      <c r="N41" s="72">
        <f>-(SUM($E$14)+L46+M46)*$H$41</f>
        <v/>
      </c>
      <c r="O41" s="72">
        <f>-(SUM($E$14)+L46+M46+N46)*$H$41</f>
        <v/>
      </c>
      <c r="P41" s="72">
        <f>-(SUM($E$14)+L46+M46+N46+O46)*$H$41</f>
        <v/>
      </c>
    </row>
    <row r="42">
      <c r="B42" s="29" t="inlineStr">
        <is>
          <t>+ Cash</t>
        </is>
      </c>
      <c r="C42" s="56">
        <f>SUM(L56:P56)</f>
        <v/>
      </c>
      <c r="G42" s="20" t="inlineStr">
        <is>
          <t>Subtotal Interest</t>
        </is>
      </c>
      <c r="I42" s="73" t="n"/>
      <c r="J42" s="73" t="n"/>
      <c r="K42" s="73" t="n"/>
      <c r="L42" s="65">
        <f>SUM(L39:L41)</f>
        <v/>
      </c>
      <c r="M42" s="65">
        <f>SUM(M39:M41)</f>
        <v/>
      </c>
      <c r="N42" s="65">
        <f>SUM(N39:N41)</f>
        <v/>
      </c>
      <c r="O42" s="65">
        <f>SUM(O39:O41)</f>
        <v/>
      </c>
      <c r="P42" s="65">
        <f>SUM(P39:P41)</f>
        <v/>
      </c>
    </row>
    <row r="43">
      <c r="B43" s="29" t="inlineStr">
        <is>
          <t>- debt</t>
        </is>
      </c>
      <c r="C43" s="56">
        <f>-P57</f>
        <v/>
      </c>
      <c r="I43" s="73" t="n"/>
      <c r="J43" s="73" t="n"/>
      <c r="K43" s="73" t="n"/>
      <c r="L43" s="65" t="n"/>
      <c r="M43" s="65" t="n"/>
      <c r="N43" s="65" t="n"/>
      <c r="O43" s="65" t="n"/>
      <c r="P43" s="65" t="n"/>
    </row>
    <row r="44">
      <c r="A44" s="24" t="n">
        <v>0.03</v>
      </c>
      <c r="B44" s="29" t="inlineStr">
        <is>
          <t>- Expenses</t>
        </is>
      </c>
      <c r="C44" s="80">
        <f>-A44*C41</f>
        <v/>
      </c>
      <c r="G44" s="6" t="inlineStr">
        <is>
          <t>Debt Amortization</t>
        </is>
      </c>
      <c r="H44" s="14" t="inlineStr">
        <is>
          <t># of Years</t>
        </is>
      </c>
      <c r="I44" s="73" t="n"/>
      <c r="J44" s="73" t="n"/>
      <c r="K44" s="73" t="n"/>
      <c r="L44" s="65" t="n"/>
      <c r="M44" s="65" t="n"/>
      <c r="N44" s="65" t="n"/>
      <c r="O44" s="65" t="n"/>
      <c r="P44" s="65" t="n"/>
    </row>
    <row r="45">
      <c r="B45" s="6" t="inlineStr">
        <is>
          <t>Amount to Distribute</t>
        </is>
      </c>
      <c r="C45" s="69">
        <f>SUM(C41:C44)</f>
        <v/>
      </c>
      <c r="G45" s="20" t="inlineStr">
        <is>
          <t>Term</t>
        </is>
      </c>
      <c r="H45" s="25" t="n">
        <v>3</v>
      </c>
      <c r="I45" s="73" t="n"/>
      <c r="J45" s="73" t="n"/>
      <c r="K45" s="73" t="n"/>
      <c r="L45" s="65">
        <f>-SUM(E11:E12)/$H$45</f>
        <v/>
      </c>
      <c r="M45" s="65">
        <f>IF((SUM($E$11:$E$12)+L45)&gt;0,-SUM($E$11:$E$12)/$H$45,0)</f>
        <v/>
      </c>
      <c r="N45" s="65">
        <f>IF((SUM($E$11:$E$12)+L45+M45)&gt;0,-SUM($E$11:$E$12)/$H$45,0)</f>
        <v/>
      </c>
      <c r="O45" s="65">
        <f>IF((SUM($E$11:$E$12)+L45+M45+N45)&gt;0,-SUM($E$11:$E$12)/$H$45,0)</f>
        <v/>
      </c>
      <c r="P45" s="65">
        <f>IF((SUM($E$11:$E$12)+L45+M45+N45+O45)&gt;0,-SUM($E$11:$E$12)/$H$45,0)</f>
        <v/>
      </c>
    </row>
    <row r="46">
      <c r="G46" s="20" t="inlineStr">
        <is>
          <t>Seller Note</t>
        </is>
      </c>
      <c r="H46" s="25" t="n">
        <v>4</v>
      </c>
      <c r="I46" s="73" t="n"/>
      <c r="J46" s="73" t="n"/>
      <c r="K46" s="73" t="n"/>
      <c r="L46" s="72">
        <f>-SUM(E14)/$H$46</f>
        <v/>
      </c>
      <c r="M46" s="72">
        <f>IF((SUM($E$14)+L46)&gt;0,-SUM($E$14)/$H$46,0)</f>
        <v/>
      </c>
      <c r="N46" s="72">
        <f>IF((SUM($E$14)+L46+M46)&gt;0,-SUM($E$14)/$H$46,0)</f>
        <v/>
      </c>
      <c r="O46" s="72">
        <f>IF((SUM($E$14)+L46+M46+N46)&gt;0,-SUM($E$14)/$H$46,0)</f>
        <v/>
      </c>
      <c r="P46" s="72">
        <f>IF((SUM($E$14)+L46+M46+N46+O46)&gt;0,-SUM($E$14)/$H$46,0)</f>
        <v/>
      </c>
    </row>
    <row r="47">
      <c r="A47" s="24" t="n">
        <v>0.05</v>
      </c>
      <c r="B47" t="inlineStr">
        <is>
          <t>Mgmt LTIP</t>
        </is>
      </c>
      <c r="C47" s="80">
        <f>-A47*C45</f>
        <v/>
      </c>
      <c r="G47" s="6" t="inlineStr">
        <is>
          <t>Total Debt Service</t>
        </is>
      </c>
      <c r="H47" s="6" t="n"/>
      <c r="I47" s="81" t="n"/>
      <c r="J47" s="81" t="n"/>
      <c r="K47" s="81" t="n"/>
      <c r="L47" s="67">
        <f>SUM(L42:L46)</f>
        <v/>
      </c>
      <c r="M47" s="67">
        <f>SUM(M42:M46)</f>
        <v/>
      </c>
      <c r="N47" s="67">
        <f>SUM(N42:N46)</f>
        <v/>
      </c>
      <c r="O47" s="67">
        <f>SUM(O42:O46)</f>
        <v/>
      </c>
      <c r="P47" s="67">
        <f>SUM(P42:P46)</f>
        <v/>
      </c>
    </row>
    <row r="48">
      <c r="B48" s="6" t="inlineStr">
        <is>
          <t>Amount left after Mgmt LTIP</t>
        </is>
      </c>
      <c r="C48" s="69">
        <f>SUM(C45:C47)</f>
        <v/>
      </c>
      <c r="I48" s="73" t="n"/>
      <c r="J48" s="73" t="n"/>
      <c r="K48" s="73" t="n"/>
      <c r="L48" s="73" t="n"/>
      <c r="M48" s="73" t="n"/>
      <c r="N48" s="73" t="n"/>
      <c r="O48" s="73" t="n"/>
      <c r="P48" s="73" t="n"/>
    </row>
    <row r="49">
      <c r="B49" s="6" t="inlineStr">
        <is>
          <t>Amount of Atar Ownership</t>
        </is>
      </c>
      <c r="C49" s="69">
        <f>C48*C28</f>
        <v/>
      </c>
      <c r="G49" s="48" t="inlineStr">
        <is>
          <t>Net Cash Flow</t>
        </is>
      </c>
      <c r="H49" s="28" t="n"/>
      <c r="I49" s="79" t="n"/>
      <c r="J49" s="79" t="n"/>
      <c r="K49" s="79" t="n"/>
      <c r="L49" s="79" t="n"/>
      <c r="M49" s="79" t="n"/>
      <c r="N49" s="79" t="n"/>
      <c r="O49" s="79" t="n"/>
      <c r="P49" s="79" t="n"/>
    </row>
    <row r="50" ht="17" customHeight="1" thickBot="1">
      <c r="G50" s="6" t="inlineStr">
        <is>
          <t>Cashflow available for Earnout or Management Fees</t>
        </is>
      </c>
      <c r="H50" s="6" t="n"/>
      <c r="I50" s="81" t="n"/>
      <c r="J50" s="81" t="n"/>
      <c r="K50" s="81" t="n"/>
      <c r="L50" s="82">
        <f>L35+L47</f>
        <v/>
      </c>
      <c r="M50" s="82">
        <f>M35+M47</f>
        <v/>
      </c>
      <c r="N50" s="82">
        <f>N35+N47</f>
        <v/>
      </c>
      <c r="O50" s="82">
        <f>O35+O47</f>
        <v/>
      </c>
      <c r="P50" s="82">
        <f>P35+P47</f>
        <v/>
      </c>
    </row>
    <row r="51" ht="17" customHeight="1" thickTop="1">
      <c r="B51" s="54" t="inlineStr">
        <is>
          <t>LP</t>
        </is>
      </c>
      <c r="C51" s="57" t="n"/>
      <c r="D51" s="14" t="n"/>
      <c r="E51" s="83" t="inlineStr">
        <is>
          <t>GP</t>
        </is>
      </c>
    </row>
    <row r="52">
      <c r="A52" s="24" t="n">
        <v>0.08</v>
      </c>
      <c r="B52" t="inlineStr">
        <is>
          <t>Preferred</t>
        </is>
      </c>
      <c r="C52" s="56">
        <f>A52*E20*5</f>
        <v/>
      </c>
      <c r="G52" t="inlineStr">
        <is>
          <t>Earnout Payments</t>
        </is>
      </c>
      <c r="L52" s="53" t="n"/>
      <c r="M52" s="53" t="n"/>
      <c r="N52" s="53" t="n"/>
      <c r="O52" s="53" t="n"/>
      <c r="P52" s="53" t="n"/>
    </row>
    <row r="53">
      <c r="B53" t="inlineStr">
        <is>
          <t>Return of Equity</t>
        </is>
      </c>
      <c r="C53" s="56">
        <f>E20</f>
        <v/>
      </c>
      <c r="G53" t="inlineStr">
        <is>
          <t>Management Fees</t>
        </is>
      </c>
      <c r="L53" s="77" t="n">
        <v>-250</v>
      </c>
      <c r="M53" s="77" t="n">
        <v>-250</v>
      </c>
      <c r="N53" s="77" t="n">
        <v>-250</v>
      </c>
      <c r="O53" s="77" t="n">
        <v>-250</v>
      </c>
      <c r="P53" s="77" t="n">
        <v>-250</v>
      </c>
    </row>
    <row r="54">
      <c r="A54" s="24" t="n">
        <v>0.75</v>
      </c>
      <c r="B54" t="inlineStr">
        <is>
          <t>LP/GP Split</t>
        </is>
      </c>
      <c r="C54" s="80">
        <f>(C49-SUM(C52:C53))*A54</f>
        <v/>
      </c>
      <c r="E54" s="84">
        <f>C49-C52-C53-C54</f>
        <v/>
      </c>
      <c r="G54" s="6" t="inlineStr">
        <is>
          <t>Net Cash Flow to paydown/(increase) Revolver</t>
        </is>
      </c>
      <c r="H54" s="6" t="n"/>
      <c r="I54" s="6" t="n"/>
      <c r="J54" s="6" t="n"/>
      <c r="K54" s="6" t="n"/>
      <c r="L54" s="81">
        <f>L50+L53+L52</f>
        <v/>
      </c>
      <c r="M54" s="81">
        <f>M50+M53+M52</f>
        <v/>
      </c>
      <c r="N54" s="81">
        <f>N50+N53+N52</f>
        <v/>
      </c>
      <c r="O54" s="81">
        <f>O50+O53+O52</f>
        <v/>
      </c>
      <c r="P54" s="81">
        <f>P50+P53+P52</f>
        <v/>
      </c>
    </row>
    <row r="55">
      <c r="B55" s="6" t="inlineStr">
        <is>
          <t>Total</t>
        </is>
      </c>
      <c r="C55" s="69">
        <f>SUM(C52:C54)</f>
        <v/>
      </c>
      <c r="D55" s="6" t="n"/>
      <c r="E55" s="69">
        <f>SUM(E52:E54)</f>
        <v/>
      </c>
      <c r="G55" t="inlineStr">
        <is>
          <t>Cash used to paydown Revolver</t>
        </is>
      </c>
      <c r="L55" s="65">
        <f>IF(K57&gt;L54,-MAX(L54),-K57)</f>
        <v/>
      </c>
      <c r="M55" s="65">
        <f>IF(L57&gt;M54,-MAX(M54),-L57)</f>
        <v/>
      </c>
      <c r="N55" s="65">
        <f>IF(M57&gt;N54,-MAX(N54),-M57)</f>
        <v/>
      </c>
      <c r="O55" s="65">
        <f>IF(N57&gt;O54,-MAX(O54),-N57)</f>
        <v/>
      </c>
      <c r="P55" s="65">
        <f>IF(O57&gt;P54,-MAX(P54),-O57)</f>
        <v/>
      </c>
    </row>
    <row r="56">
      <c r="G56" t="inlineStr">
        <is>
          <t>Remaining Cash</t>
        </is>
      </c>
      <c r="L56" s="73">
        <f>SUM(L54:L55)</f>
        <v/>
      </c>
      <c r="M56" s="73">
        <f>SUM(M54:M55)</f>
        <v/>
      </c>
      <c r="N56" s="73">
        <f>SUM(N54:N55)</f>
        <v/>
      </c>
      <c r="O56" s="73">
        <f>SUM(O54:O55)</f>
        <v/>
      </c>
      <c r="P56" s="73">
        <f>SUM(P54:P55)</f>
        <v/>
      </c>
    </row>
    <row r="57">
      <c r="B57" s="6" t="inlineStr">
        <is>
          <t>LP MOIC</t>
        </is>
      </c>
      <c r="C57" s="18">
        <f>SUM(C52:C54)/E20</f>
        <v/>
      </c>
      <c r="G57" t="inlineStr">
        <is>
          <t>Revolver balance</t>
        </is>
      </c>
      <c r="K57" s="65">
        <f>SUM(E7:E8)</f>
        <v/>
      </c>
      <c r="L57" s="73">
        <f>(K57*L8)+K57+L55</f>
        <v/>
      </c>
      <c r="M57" s="73">
        <f>(L57*M8)+L57+M55</f>
        <v/>
      </c>
      <c r="N57" s="73">
        <f>(M57*N8)+M57+N55</f>
        <v/>
      </c>
      <c r="O57" s="73">
        <f>(N57*O8)+N57+O55</f>
        <v/>
      </c>
      <c r="P57" s="73">
        <f>(O57*P8)+O57+P55</f>
        <v/>
      </c>
    </row>
    <row r="58">
      <c r="G58" s="6" t="inlineStr">
        <is>
          <t>FCCR</t>
        </is>
      </c>
      <c r="H58" s="6" t="n"/>
      <c r="I58" s="6" t="n"/>
      <c r="J58" s="6" t="n"/>
      <c r="K58" s="6" t="n"/>
      <c r="L58" s="49">
        <f>(L31+L32+L34+L53)/-L47</f>
        <v/>
      </c>
      <c r="M58" s="49">
        <f>(M31+M32+M34+M53)/-M47</f>
        <v/>
      </c>
      <c r="N58" s="49">
        <f>(N31+N32+N34+N53)/-N47</f>
        <v/>
      </c>
      <c r="O58" s="49">
        <f>(O31+O32+O34+O53)/-O47</f>
        <v/>
      </c>
      <c r="P58" s="49">
        <f>(P31+P32+P34+P53)/-P47</f>
        <v/>
      </c>
    </row>
  </sheetData>
  <mergeCells count="5">
    <mergeCell ref="B4:E4"/>
    <mergeCell ref="B51:C51"/>
    <mergeCell ref="G30:P30"/>
    <mergeCell ref="B24:E24"/>
    <mergeCell ref="B37:E37"/>
  </mergeCells>
  <pageMargins left="0.25" right="0.25" top="0.75" bottom="0.75" header="0.3" footer="0.3"/>
  <pageSetup orientation="portrait" scale="51" horizontalDpi="0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:E17"/>
  <sheetViews>
    <sheetView workbookViewId="0">
      <selection activeCell="E6" sqref="E6"/>
    </sheetView>
  </sheetViews>
  <sheetFormatPr baseColWidth="10" defaultColWidth="11" defaultRowHeight="16"/>
  <cols>
    <col width="18.83203125" customWidth="1" min="3" max="3"/>
    <col width="11.5" bestFit="1" customWidth="1" min="4" max="4"/>
    <col width="13" customWidth="1" min="5" max="5"/>
  </cols>
  <sheetData>
    <row r="4">
      <c r="C4" t="inlineStr">
        <is>
          <t>Debt Sourcing Costs</t>
        </is>
      </c>
    </row>
    <row r="6">
      <c r="C6" t="inlineStr">
        <is>
          <t>ABL</t>
        </is>
      </c>
      <c r="D6" s="10" t="n">
        <v>0.0075</v>
      </c>
      <c r="E6" s="59">
        <f>D6*SUM(Sheet1!E7:E9)</f>
        <v/>
      </c>
    </row>
    <row r="8">
      <c r="C8" t="inlineStr">
        <is>
          <t>Term</t>
        </is>
      </c>
      <c r="D8" s="10" t="n">
        <v>0.0075</v>
      </c>
      <c r="E8" s="59">
        <f>D8*SUM(Sheet1!E11:E12)</f>
        <v/>
      </c>
    </row>
    <row r="10">
      <c r="C10" t="inlineStr">
        <is>
          <t>Lawyers</t>
        </is>
      </c>
      <c r="E10" s="9" t="n">
        <v>250</v>
      </c>
    </row>
    <row r="11">
      <c r="C11" t="inlineStr">
        <is>
          <t>QofE Diligence</t>
        </is>
      </c>
      <c r="E11" s="9" t="n">
        <v>250</v>
      </c>
    </row>
    <row r="12">
      <c r="C12" t="inlineStr">
        <is>
          <t>Tax</t>
        </is>
      </c>
      <c r="E12" s="9" t="n">
        <v>125</v>
      </c>
    </row>
    <row r="13">
      <c r="C13" t="inlineStr">
        <is>
          <t>R&amp;W Insurance</t>
        </is>
      </c>
      <c r="E13" s="9" t="n">
        <v>50</v>
      </c>
    </row>
    <row r="14">
      <c r="C14" t="inlineStr">
        <is>
          <t>Atar Bonuses Senior</t>
        </is>
      </c>
      <c r="E14" s="9" t="n">
        <v>75</v>
      </c>
    </row>
    <row r="15">
      <c r="C15" t="inlineStr">
        <is>
          <t>Atar Bonuses Junior</t>
        </is>
      </c>
      <c r="E15" s="9" t="n">
        <v>300</v>
      </c>
    </row>
    <row r="16">
      <c r="E16" t="n">
        <v>100</v>
      </c>
    </row>
    <row r="17">
      <c r="E17" s="59">
        <f>SUM(E6:E16)</f>
        <v/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2022-03-30T15:32:27Z</dcterms:created>
  <dcterms:modified xmlns:dcterms="http://purl.org/dc/terms/" xmlns:xsi="http://www.w3.org/2001/XMLSchema-instance" xsi:type="dcterms:W3CDTF">2026-03-05T06:51:54Z</dcterms:modified>
  <cp:lastModifiedBy>Stanley Huang</cp:lastModifiedBy>
</cp:coreProperties>
</file>