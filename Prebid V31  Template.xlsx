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arcapital-my.sharepoint.com/personal/shuang_atarcapital_com/Documents/Atar Stuff/Templates/"/>
    </mc:Choice>
  </mc:AlternateContent>
  <xr:revisionPtr revIDLastSave="383" documentId="8_{F6394C3A-47A9-F947-8D01-8A805E87B6DE}" xr6:coauthVersionLast="47" xr6:coauthVersionMax="47" xr10:uidLastSave="{AE5D3755-7EA7-2844-875A-D470C0111A41}"/>
  <bookViews>
    <workbookView xWindow="-78600" yWindow="-3000" windowWidth="30600" windowHeight="27200" xr2:uid="{8C61482F-F4DC-8F42-BA07-AD109C3648CE}"/>
  </bookViews>
  <sheets>
    <sheet name="Sheet1" sheetId="1" r:id="rId1"/>
    <sheet name="Transaction Fees" sheetId="2" r:id="rId2"/>
  </sheets>
  <definedNames>
    <definedName name="_xlnm.Print_Area" localSheetId="0">Sheet1!$A$1:$Q$65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5" i="1" l="1"/>
  <c r="O15" i="1"/>
  <c r="N15" i="1"/>
  <c r="M15" i="1"/>
  <c r="L15" i="1"/>
  <c r="K15" i="1"/>
  <c r="J15" i="1"/>
  <c r="I15" i="1"/>
  <c r="K34" i="1"/>
  <c r="J34" i="1"/>
  <c r="I34" i="1"/>
  <c r="L8" i="1" l="1"/>
  <c r="P18" i="1" l="1"/>
  <c r="P19" i="1" s="1"/>
  <c r="O18" i="1"/>
  <c r="O19" i="1" s="1"/>
  <c r="N18" i="1"/>
  <c r="N19" i="1" s="1"/>
  <c r="M18" i="1"/>
  <c r="M19" i="1" s="1"/>
  <c r="L18" i="1"/>
  <c r="P11" i="1"/>
  <c r="O11" i="1"/>
  <c r="N11" i="1"/>
  <c r="M11" i="1"/>
  <c r="L11" i="1"/>
  <c r="K11" i="1"/>
  <c r="J11" i="1"/>
  <c r="I11" i="1"/>
  <c r="K8" i="1"/>
  <c r="M8" i="1"/>
  <c r="N8" i="1"/>
  <c r="O8" i="1"/>
  <c r="P8" i="1"/>
  <c r="J8" i="1"/>
  <c r="E30" i="1"/>
  <c r="C29" i="1" s="1"/>
  <c r="E18" i="1"/>
  <c r="E16" i="1"/>
  <c r="E14" i="1"/>
  <c r="E12" i="1"/>
  <c r="E11" i="1"/>
  <c r="E9" i="1"/>
  <c r="E8" i="1"/>
  <c r="E7" i="1"/>
  <c r="K57" i="1" l="1"/>
  <c r="L33" i="1"/>
  <c r="M33" i="1" s="1"/>
  <c r="N33" i="1" s="1"/>
  <c r="O33" i="1" s="1"/>
  <c r="P33" i="1" s="1"/>
  <c r="L39" i="1"/>
  <c r="L19" i="1"/>
  <c r="E31" i="1"/>
  <c r="I18" i="1"/>
  <c r="I24" i="1" s="1"/>
  <c r="K18" i="1"/>
  <c r="K31" i="1" s="1"/>
  <c r="K35" i="1" s="1"/>
  <c r="J18" i="1"/>
  <c r="J31" i="1" s="1"/>
  <c r="J35" i="1" s="1"/>
  <c r="I27" i="1"/>
  <c r="I31" i="1"/>
  <c r="I35" i="1" s="1"/>
  <c r="L31" i="1"/>
  <c r="L40" i="1"/>
  <c r="L45" i="1"/>
  <c r="M40" i="1" s="1"/>
  <c r="L41" i="1"/>
  <c r="L46" i="1"/>
  <c r="M46" i="1" s="1"/>
  <c r="N31" i="1"/>
  <c r="P31" i="1"/>
  <c r="C39" i="1" s="1"/>
  <c r="C41" i="1" s="1"/>
  <c r="C44" i="1" s="1"/>
  <c r="M31" i="1"/>
  <c r="O31" i="1"/>
  <c r="E8" i="2"/>
  <c r="E6" i="2"/>
  <c r="E17" i="2" s="1"/>
  <c r="E32" i="1" s="1"/>
  <c r="E34" i="1" l="1"/>
  <c r="E22" i="1" s="1"/>
  <c r="E20" i="1" s="1"/>
  <c r="I19" i="1"/>
  <c r="J24" i="1"/>
  <c r="J27" i="1" s="1"/>
  <c r="K19" i="1"/>
  <c r="K24" i="1"/>
  <c r="K27" i="1" s="1"/>
  <c r="J19" i="1"/>
  <c r="M41" i="1"/>
  <c r="N41" i="1"/>
  <c r="N46" i="1"/>
  <c r="M45" i="1"/>
  <c r="C52" i="1" l="1"/>
  <c r="C53" i="1"/>
  <c r="N40" i="1"/>
  <c r="O46" i="1"/>
  <c r="P46" i="1" s="1"/>
  <c r="O41" i="1"/>
  <c r="N45" i="1"/>
  <c r="O40" i="1" s="1"/>
  <c r="O45" i="1" l="1"/>
  <c r="P40" i="1"/>
  <c r="P41" i="1"/>
  <c r="P45" i="1"/>
  <c r="L42" i="1" l="1"/>
  <c r="L22" i="1" s="1"/>
  <c r="L24" i="1" s="1"/>
  <c r="L47" i="1"/>
  <c r="L26" i="1" l="1"/>
  <c r="L34" i="1" s="1"/>
  <c r="L58" i="1" l="1"/>
  <c r="L35" i="1"/>
  <c r="L50" i="1" s="1"/>
  <c r="L54" i="1" s="1"/>
  <c r="L55" i="1" s="1"/>
  <c r="L57" i="1" s="1"/>
  <c r="L27" i="1"/>
  <c r="M39" i="1" l="1"/>
  <c r="M42" i="1" s="1"/>
  <c r="L56" i="1"/>
  <c r="M47" i="1" l="1"/>
  <c r="M22" i="1"/>
  <c r="M24" i="1" s="1"/>
  <c r="M26" i="1" s="1"/>
  <c r="M34" i="1" s="1"/>
  <c r="M58" i="1" s="1"/>
  <c r="M35" i="1" l="1"/>
  <c r="M50" i="1" s="1"/>
  <c r="M27" i="1"/>
  <c r="M54" i="1"/>
  <c r="M55" i="1" l="1"/>
  <c r="M56" i="1" l="1"/>
  <c r="M57" i="1"/>
  <c r="N39" i="1" s="1"/>
  <c r="N42" i="1" s="1"/>
  <c r="N47" i="1" l="1"/>
  <c r="N22" i="1"/>
  <c r="N24" i="1" s="1"/>
  <c r="N26" i="1" l="1"/>
  <c r="N34" i="1" s="1"/>
  <c r="N35" i="1" s="1"/>
  <c r="N50" i="1" s="1"/>
  <c r="N54" i="1" s="1"/>
  <c r="N27" i="1"/>
  <c r="N58" i="1"/>
  <c r="N55" i="1" l="1"/>
  <c r="N56" i="1" l="1"/>
  <c r="N57" i="1"/>
  <c r="O39" i="1" l="1"/>
  <c r="O42" i="1" s="1"/>
  <c r="O22" i="1"/>
  <c r="O24" i="1" s="1"/>
  <c r="O47" i="1"/>
  <c r="O26" i="1" l="1"/>
  <c r="O34" i="1" s="1"/>
  <c r="O27" i="1"/>
  <c r="O58" i="1" l="1"/>
  <c r="O35" i="1"/>
  <c r="O50" i="1" s="1"/>
  <c r="O54" i="1" s="1"/>
  <c r="O55" i="1" l="1"/>
  <c r="O57" i="1" s="1"/>
  <c r="P39" i="1" l="1"/>
  <c r="P42" i="1" s="1"/>
  <c r="O56" i="1"/>
  <c r="P22" i="1"/>
  <c r="P24" i="1" s="1"/>
  <c r="P47" i="1"/>
  <c r="P26" i="1" l="1"/>
  <c r="P34" i="1" s="1"/>
  <c r="P27" i="1"/>
  <c r="P58" i="1" l="1"/>
  <c r="P35" i="1"/>
  <c r="P50" i="1" s="1"/>
  <c r="P54" i="1" s="1"/>
  <c r="P55" i="1" l="1"/>
  <c r="P57" i="1" s="1"/>
  <c r="C43" i="1"/>
  <c r="P56" i="1" l="1"/>
  <c r="C42" i="1" s="1"/>
  <c r="C45" i="1" s="1"/>
  <c r="C47" i="1" s="1"/>
  <c r="C48" i="1" s="1"/>
  <c r="C49" i="1" s="1"/>
  <c r="C54" i="1" s="1"/>
  <c r="C55" i="1" l="1"/>
  <c r="C57" i="1"/>
  <c r="E54" i="1"/>
  <c r="E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tc={DFDD15B9-F2D1-A242-B824-7B57660BDF48}</author>
  </authors>
  <commentList>
    <comment ref="C8" authorId="0" shapeId="0" xr:uid="{DFDD15B9-F2D1-A242-B824-7B57660BDF48}">
      <text>
        <t>[Threaded comment]
Your version of Excel allows you to read this threaded comment; however, any edits to it will get removed if the file is opened in a newer version of Excel. Learn more: https://go.microsoft.com/fwlink/?linkid=870924
Comment:
    $3,094 of total is “in Transit</t>
      </text>
    </comment>
  </commentList>
</comments>
</file>

<file path=xl/sharedStrings.xml><?xml version="1.0" encoding="utf-8"?>
<sst xmlns="http://schemas.openxmlformats.org/spreadsheetml/2006/main" count="99" uniqueCount="92">
  <si>
    <t>Atar Capital Prebid Analysis</t>
  </si>
  <si>
    <t>Sources</t>
  </si>
  <si>
    <t>(Amount in 000's)</t>
  </si>
  <si>
    <t>FY19</t>
  </si>
  <si>
    <t>FY20</t>
  </si>
  <si>
    <t>FY21</t>
  </si>
  <si>
    <t>Year 1</t>
  </si>
  <si>
    <t>Year 2</t>
  </si>
  <si>
    <t>Year 3</t>
  </si>
  <si>
    <t>Year 4</t>
  </si>
  <si>
    <t>Year 5</t>
  </si>
  <si>
    <t>AR</t>
  </si>
  <si>
    <t>Net Revenue</t>
  </si>
  <si>
    <t>Inventory</t>
  </si>
  <si>
    <t>Growth Rate</t>
  </si>
  <si>
    <t>M&amp;E Equipment</t>
  </si>
  <si>
    <t>Gross Margin</t>
  </si>
  <si>
    <t>Building &amp; Land</t>
  </si>
  <si>
    <t>GM%</t>
  </si>
  <si>
    <t>Term Loans/Cashflow loans</t>
  </si>
  <si>
    <t>SG&amp;A</t>
  </si>
  <si>
    <t>Seller Note</t>
  </si>
  <si>
    <t>Operating Income</t>
  </si>
  <si>
    <t>Earnout</t>
  </si>
  <si>
    <t>1X expenses/Adjustments</t>
  </si>
  <si>
    <t>Equity Roll From Seller</t>
  </si>
  <si>
    <t>Adj. EBITDA</t>
  </si>
  <si>
    <t>EBITDA%</t>
  </si>
  <si>
    <t>Atar Equity</t>
  </si>
  <si>
    <t>Other expense/(income)</t>
  </si>
  <si>
    <t>Total Sources</t>
  </si>
  <si>
    <t>Interest expense/(income)</t>
  </si>
  <si>
    <t>Depreciation expense</t>
  </si>
  <si>
    <t>Uses</t>
  </si>
  <si>
    <t>Taxable Income</t>
  </si>
  <si>
    <t>EBITDA</t>
  </si>
  <si>
    <t>Taxes</t>
  </si>
  <si>
    <t>Multiple</t>
  </si>
  <si>
    <t>Net Income</t>
  </si>
  <si>
    <t>Percentage Acquired</t>
  </si>
  <si>
    <t>Total EV Cash Free/Debt Free</t>
  </si>
  <si>
    <t>Purchase Price</t>
  </si>
  <si>
    <t>TALE OF THE TAPE</t>
  </si>
  <si>
    <t>Availability</t>
  </si>
  <si>
    <t>Transaction Fees</t>
  </si>
  <si>
    <t>CAPEX (PUT in as NEGATIVE)</t>
  </si>
  <si>
    <t>Working Capital Change</t>
  </si>
  <si>
    <t>Total Uses</t>
  </si>
  <si>
    <t>Cashflow Available for Debt Service</t>
  </si>
  <si>
    <t>MOIC</t>
  </si>
  <si>
    <t>DEBT SERVICE</t>
  </si>
  <si>
    <t>Interest</t>
  </si>
  <si>
    <t>EXIT EBITDA</t>
  </si>
  <si>
    <t>ABL</t>
  </si>
  <si>
    <t>Exit Multiple</t>
  </si>
  <si>
    <t>Term</t>
  </si>
  <si>
    <t>EV At Exit</t>
  </si>
  <si>
    <t>+ Cash</t>
  </si>
  <si>
    <t>Subtotal Interest</t>
  </si>
  <si>
    <t>- debt</t>
  </si>
  <si>
    <t>Debt Amortization</t>
  </si>
  <si>
    <t>- Expenses</t>
  </si>
  <si>
    <t># of Years</t>
  </si>
  <si>
    <t>Amount to Distribute</t>
  </si>
  <si>
    <t>Mgmt LTIP</t>
  </si>
  <si>
    <t>Total Debt Service</t>
  </si>
  <si>
    <t>Amount left after Mgmt LTIP</t>
  </si>
  <si>
    <t>Amount of Atar Ownership</t>
  </si>
  <si>
    <t>Cashflow available for Earnout or Management Fees</t>
  </si>
  <si>
    <t>LP</t>
  </si>
  <si>
    <t>GP</t>
  </si>
  <si>
    <t>Preferred</t>
  </si>
  <si>
    <t>Management Fees</t>
  </si>
  <si>
    <t>Return of Equity</t>
  </si>
  <si>
    <t>LP/GP Split</t>
  </si>
  <si>
    <t>Total</t>
  </si>
  <si>
    <t>Revolver balance</t>
  </si>
  <si>
    <t>LP MOIC</t>
  </si>
  <si>
    <t>FCCR</t>
  </si>
  <si>
    <t>Debt Sourcing Costs</t>
  </si>
  <si>
    <t>Lawyers</t>
  </si>
  <si>
    <t>QofE Diligence</t>
  </si>
  <si>
    <t>Tax</t>
  </si>
  <si>
    <t>R&amp;W Insurance</t>
  </si>
  <si>
    <t>Atar Bonuses Senior</t>
  </si>
  <si>
    <t>Atar Bonuses Junior</t>
  </si>
  <si>
    <t>Project XYZXYZ</t>
  </si>
  <si>
    <t>Earnout Payments</t>
  </si>
  <si>
    <t>Net Cash Flow</t>
  </si>
  <si>
    <t>Remaining Cash</t>
  </si>
  <si>
    <t>Cash used to paydown Revolver</t>
  </si>
  <si>
    <t>Net Cash Flow to paydown/(increase) Revolver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</si>
</sst>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9" fontId="3" fillId="0" borderId="0" xfId="0" applyNumberFormat="1" applyFont="1"/>
    <xf numFmtId="0" fontId="3" fillId="0" borderId="0" xfId="0" applyFont="1"/>
    <xf numFmtId="44" fontId="0" fillId="0" borderId="0" xfId="2" applyFont="1"/>
    <xf numFmtId="44" fontId="0" fillId="0" borderId="0" xfId="0" applyNumberFormat="1"/>
    <xf numFmtId="44" fontId="3" fillId="0" borderId="0" xfId="2" applyFont="1"/>
    <xf numFmtId="0" fontId="2" fillId="0" borderId="0" xfId="0" applyFont="1"/>
    <xf numFmtId="44" fontId="2" fillId="0" borderId="0" xfId="2" applyFont="1"/>
    <xf numFmtId="44" fontId="2" fillId="0" borderId="2" xfId="0" applyNumberFormat="1" applyFont="1" applyBorder="1"/>
    <xf numFmtId="43" fontId="0" fillId="0" borderId="0" xfId="1" applyFont="1"/>
    <xf numFmtId="10" fontId="3" fillId="0" borderId="0" xfId="3" applyNumberFormat="1" applyFont="1"/>
    <xf numFmtId="0" fontId="2" fillId="0" borderId="0" xfId="0" applyFont="1" applyAlignment="1">
      <alignment horizontal="center"/>
    </xf>
    <xf numFmtId="44" fontId="0" fillId="2" borderId="0" xfId="0" applyNumberFormat="1" applyFill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43" fontId="0" fillId="0" borderId="3" xfId="1" applyFont="1" applyBorder="1"/>
    <xf numFmtId="0" fontId="2" fillId="3" borderId="0" xfId="0" applyFont="1" applyFill="1" applyAlignment="1">
      <alignment horizontal="center"/>
    </xf>
    <xf numFmtId="43" fontId="2" fillId="0" borderId="0" xfId="1" applyFont="1"/>
    <xf numFmtId="164" fontId="5" fillId="0" borderId="0" xfId="3" applyNumberFormat="1" applyFont="1"/>
    <xf numFmtId="0" fontId="0" fillId="0" borderId="0" xfId="0" applyAlignment="1">
      <alignment horizontal="left" indent="2"/>
    </xf>
    <xf numFmtId="44" fontId="3" fillId="4" borderId="0" xfId="2" applyFont="1" applyFill="1"/>
    <xf numFmtId="9" fontId="3" fillId="4" borderId="0" xfId="2" applyNumberFormat="1" applyFont="1" applyFill="1"/>
    <xf numFmtId="10" fontId="3" fillId="4" borderId="0" xfId="0" applyNumberFormat="1" applyFont="1" applyFill="1"/>
    <xf numFmtId="9" fontId="3" fillId="4" borderId="0" xfId="0" applyNumberFormat="1" applyFont="1" applyFill="1"/>
    <xf numFmtId="0" fontId="3" fillId="4" borderId="0" xfId="0" applyFont="1" applyFill="1"/>
    <xf numFmtId="9" fontId="3" fillId="4" borderId="3" xfId="0" applyNumberFormat="1" applyFont="1" applyFill="1" applyBorder="1"/>
    <xf numFmtId="43" fontId="3" fillId="4" borderId="0" xfId="1" applyFont="1" applyFill="1"/>
    <xf numFmtId="0" fontId="0" fillId="5" borderId="0" xfId="0" applyFill="1"/>
    <xf numFmtId="0" fontId="0" fillId="0" borderId="0" xfId="0" quotePrefix="1"/>
    <xf numFmtId="14" fontId="0" fillId="0" borderId="0" xfId="2" applyNumberFormat="1" applyFont="1"/>
    <xf numFmtId="44" fontId="0" fillId="0" borderId="3" xfId="2" applyFont="1" applyBorder="1"/>
    <xf numFmtId="44" fontId="0" fillId="0" borderId="3" xfId="0" applyNumberFormat="1" applyBorder="1"/>
    <xf numFmtId="165" fontId="3" fillId="0" borderId="0" xfId="2" applyNumberFormat="1" applyFont="1"/>
    <xf numFmtId="165" fontId="0" fillId="0" borderId="0" xfId="2" applyNumberFormat="1" applyFont="1"/>
    <xf numFmtId="165" fontId="3" fillId="0" borderId="0" xfId="1" applyNumberFormat="1" applyFont="1"/>
    <xf numFmtId="165" fontId="0" fillId="0" borderId="0" xfId="1" applyNumberFormat="1" applyFont="1"/>
    <xf numFmtId="165" fontId="2" fillId="0" borderId="0" xfId="1" applyNumberFormat="1" applyFont="1"/>
    <xf numFmtId="165" fontId="3" fillId="0" borderId="3" xfId="1" applyNumberFormat="1" applyFont="1" applyBorder="1"/>
    <xf numFmtId="165" fontId="0" fillId="0" borderId="3" xfId="1" applyNumberFormat="1" applyFont="1" applyBorder="1"/>
    <xf numFmtId="165" fontId="0" fillId="0" borderId="0" xfId="0" applyNumberFormat="1"/>
    <xf numFmtId="165" fontId="3" fillId="0" borderId="3" xfId="0" applyNumberFormat="1" applyFont="1" applyBorder="1"/>
    <xf numFmtId="165" fontId="0" fillId="0" borderId="3" xfId="0" applyNumberFormat="1" applyBorder="1"/>
    <xf numFmtId="165" fontId="3" fillId="4" borderId="0" xfId="1" applyNumberFormat="1" applyFont="1" applyFill="1"/>
    <xf numFmtId="165" fontId="0" fillId="5" borderId="0" xfId="0" applyNumberFormat="1" applyFill="1"/>
    <xf numFmtId="165" fontId="2" fillId="0" borderId="0" xfId="0" applyNumberFormat="1" applyFont="1"/>
    <xf numFmtId="165" fontId="2" fillId="0" borderId="2" xfId="0" applyNumberFormat="1" applyFont="1" applyBorder="1"/>
    <xf numFmtId="44" fontId="2" fillId="0" borderId="1" xfId="2" applyFont="1" applyBorder="1" applyAlignment="1">
      <alignment horizontal="center"/>
    </xf>
    <xf numFmtId="0" fontId="6" fillId="5" borderId="0" xfId="0" applyFont="1" applyFill="1"/>
    <xf numFmtId="43" fontId="2" fillId="0" borderId="0" xfId="0" applyNumberFormat="1" applyFont="1"/>
    <xf numFmtId="165" fontId="3" fillId="0" borderId="0" xfId="1" applyNumberFormat="1" applyFont="1" applyBorder="1"/>
    <xf numFmtId="165" fontId="1" fillId="0" borderId="0" xfId="1" applyNumberFormat="1" applyFont="1" applyBorder="1"/>
    <xf numFmtId="166" fontId="0" fillId="0" borderId="0" xfId="1" applyNumberFormat="1" applyFont="1"/>
    <xf numFmtId="0" fontId="0" fillId="4" borderId="0" xfId="0" applyFill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anley Huang" id="{06F0CA56-DB42-F444-98EF-5C291A2AF0EB}" userId="S::shuang@atarcapital.com::f28ad64e-4ab4-4d31-982b-dc423bfe0eb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2-04-18T15:16:49.08" personId="{06F0CA56-DB42-F444-98EF-5C291A2AF0EB}" id="{DFDD15B9-F2D1-A242-B824-7B57660BDF48}">
    <text>$3,094 of total is “in Transit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7445-C503-1045-A24D-51C705697A5E}">
  <sheetPr>
    <pageSetUpPr fitToPage="1"/>
  </sheetPr>
  <dimension ref="A1:P58"/>
  <sheetViews>
    <sheetView tabSelected="1"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8" sqref="C28"/>
    </sheetView>
  </sheetViews>
  <sheetFormatPr baseColWidth="10" defaultColWidth="11" defaultRowHeight="16" x14ac:dyDescent="0.2"/>
  <cols>
    <col min="1" max="1" width="4.33203125" customWidth="1"/>
    <col min="2" max="2" width="24.83203125" customWidth="1"/>
    <col min="3" max="3" width="12.5" style="3" bestFit="1" customWidth="1"/>
    <col min="4" max="4" width="4.6640625" bestFit="1" customWidth="1"/>
    <col min="5" max="5" width="11.5" bestFit="1" customWidth="1"/>
    <col min="6" max="6" width="4.6640625" customWidth="1"/>
    <col min="7" max="7" width="30.83203125" customWidth="1"/>
    <col min="8" max="8" width="9.33203125" customWidth="1"/>
    <col min="9" max="10" width="9.5" customWidth="1"/>
    <col min="11" max="11" width="11.5" bestFit="1" customWidth="1"/>
    <col min="12" max="16" width="9.5" customWidth="1"/>
  </cols>
  <sheetData>
    <row r="1" spans="1:16" ht="24" x14ac:dyDescent="0.3">
      <c r="A1" s="13" t="s">
        <v>86</v>
      </c>
    </row>
    <row r="2" spans="1:16" x14ac:dyDescent="0.2">
      <c r="A2" t="s">
        <v>0</v>
      </c>
    </row>
    <row r="4" spans="1:16" x14ac:dyDescent="0.2">
      <c r="B4" s="54" t="s">
        <v>1</v>
      </c>
      <c r="C4" s="54"/>
      <c r="D4" s="54"/>
      <c r="E4" s="54"/>
      <c r="G4" s="6" t="s">
        <v>2</v>
      </c>
      <c r="I4" s="11" t="s">
        <v>3</v>
      </c>
      <c r="J4" s="11" t="s">
        <v>4</v>
      </c>
      <c r="K4" s="11" t="s">
        <v>5</v>
      </c>
      <c r="L4" s="17" t="s">
        <v>6</v>
      </c>
      <c r="M4" s="17" t="s">
        <v>7</v>
      </c>
      <c r="N4" s="17" t="s">
        <v>8</v>
      </c>
      <c r="O4" s="17" t="s">
        <v>9</v>
      </c>
      <c r="P4" s="17" t="s">
        <v>10</v>
      </c>
    </row>
    <row r="5" spans="1:16" x14ac:dyDescent="0.2">
      <c r="B5" s="11"/>
      <c r="C5" s="11"/>
      <c r="D5" s="11"/>
      <c r="E5" s="11"/>
    </row>
    <row r="6" spans="1:16" x14ac:dyDescent="0.2">
      <c r="C6" s="30">
        <v>44530</v>
      </c>
    </row>
    <row r="7" spans="1:16" x14ac:dyDescent="0.2">
      <c r="B7" t="s">
        <v>11</v>
      </c>
      <c r="C7" s="21">
        <v>8000</v>
      </c>
      <c r="D7" s="1">
        <v>0.75</v>
      </c>
      <c r="E7" s="4">
        <f>C7*D7</f>
        <v>6000</v>
      </c>
      <c r="G7" t="s">
        <v>12</v>
      </c>
      <c r="I7" s="33"/>
      <c r="J7" s="33"/>
      <c r="K7" s="33">
        <v>90000</v>
      </c>
      <c r="L7" s="34">
        <v>100000</v>
      </c>
      <c r="M7" s="34">
        <v>100000</v>
      </c>
      <c r="N7" s="34">
        <v>100000</v>
      </c>
      <c r="O7" s="34">
        <v>100000</v>
      </c>
      <c r="P7" s="34">
        <v>100000</v>
      </c>
    </row>
    <row r="8" spans="1:16" x14ac:dyDescent="0.2">
      <c r="B8" t="s">
        <v>13</v>
      </c>
      <c r="C8" s="21">
        <v>7500</v>
      </c>
      <c r="D8" s="1">
        <v>0.7</v>
      </c>
      <c r="E8" s="4">
        <f t="shared" ref="E8:E9" si="0">C8*D8</f>
        <v>5250</v>
      </c>
      <c r="G8" s="15" t="s">
        <v>14</v>
      </c>
      <c r="H8" s="15"/>
      <c r="I8" s="15"/>
      <c r="J8" s="19" t="e">
        <f>(J7-I7)/I7</f>
        <v>#DIV/0!</v>
      </c>
      <c r="K8" s="19" t="e">
        <f t="shared" ref="K8:P8" si="1">(K7-J7)/J7</f>
        <v>#DIV/0!</v>
      </c>
      <c r="L8" s="19">
        <f>(L7-K7)/K7</f>
        <v>0.1111111111111111</v>
      </c>
      <c r="M8" s="19">
        <f t="shared" si="1"/>
        <v>0</v>
      </c>
      <c r="N8" s="19">
        <f t="shared" si="1"/>
        <v>0</v>
      </c>
      <c r="O8" s="19">
        <f t="shared" si="1"/>
        <v>0</v>
      </c>
      <c r="P8" s="19">
        <f t="shared" si="1"/>
        <v>0</v>
      </c>
    </row>
    <row r="9" spans="1:16" x14ac:dyDescent="0.2">
      <c r="B9" t="s">
        <v>15</v>
      </c>
      <c r="C9" s="21"/>
      <c r="D9" s="1">
        <v>0</v>
      </c>
      <c r="E9" s="4">
        <f t="shared" si="0"/>
        <v>0</v>
      </c>
    </row>
    <row r="10" spans="1:16" x14ac:dyDescent="0.2">
      <c r="C10" s="5"/>
      <c r="G10" t="s">
        <v>16</v>
      </c>
      <c r="I10" s="35"/>
      <c r="J10" s="35"/>
      <c r="K10" s="35"/>
      <c r="L10" s="36">
        <v>20000</v>
      </c>
      <c r="M10" s="36">
        <v>20000</v>
      </c>
      <c r="N10" s="36">
        <v>20000</v>
      </c>
      <c r="O10" s="36">
        <v>20000</v>
      </c>
      <c r="P10" s="36">
        <v>20000</v>
      </c>
    </row>
    <row r="11" spans="1:16" x14ac:dyDescent="0.2">
      <c r="B11" t="s">
        <v>17</v>
      </c>
      <c r="C11" s="21"/>
      <c r="D11" s="1">
        <v>0.5</v>
      </c>
      <c r="E11" s="4">
        <f>C11*D11</f>
        <v>0</v>
      </c>
      <c r="G11" s="15" t="s">
        <v>18</v>
      </c>
      <c r="H11" s="15"/>
      <c r="I11" s="19" t="e">
        <f>I10/I7</f>
        <v>#DIV/0!</v>
      </c>
      <c r="J11" s="19" t="e">
        <f t="shared" ref="J11:P11" si="2">J10/J7</f>
        <v>#DIV/0!</v>
      </c>
      <c r="K11" s="19">
        <f t="shared" si="2"/>
        <v>0</v>
      </c>
      <c r="L11" s="19">
        <f t="shared" si="2"/>
        <v>0.2</v>
      </c>
      <c r="M11" s="19">
        <f t="shared" si="2"/>
        <v>0.2</v>
      </c>
      <c r="N11" s="19">
        <f t="shared" si="2"/>
        <v>0.2</v>
      </c>
      <c r="O11" s="19">
        <f t="shared" si="2"/>
        <v>0.2</v>
      </c>
      <c r="P11" s="19">
        <f t="shared" si="2"/>
        <v>0.2</v>
      </c>
    </row>
    <row r="12" spans="1:16" x14ac:dyDescent="0.2">
      <c r="B12" t="s">
        <v>19</v>
      </c>
      <c r="C12" s="21"/>
      <c r="D12" s="2"/>
      <c r="E12" s="4">
        <f>C12</f>
        <v>0</v>
      </c>
    </row>
    <row r="13" spans="1:16" x14ac:dyDescent="0.2">
      <c r="D13" s="2"/>
      <c r="G13" t="s">
        <v>20</v>
      </c>
      <c r="I13" s="35"/>
      <c r="J13" s="35"/>
      <c r="K13" s="35"/>
      <c r="L13" s="36">
        <v>17500</v>
      </c>
      <c r="M13" s="36">
        <v>17500</v>
      </c>
      <c r="N13" s="36">
        <v>17500</v>
      </c>
      <c r="O13" s="36">
        <v>17500</v>
      </c>
      <c r="P13" s="36">
        <v>17500</v>
      </c>
    </row>
    <row r="14" spans="1:16" x14ac:dyDescent="0.2">
      <c r="B14" t="s">
        <v>21</v>
      </c>
      <c r="C14" s="21"/>
      <c r="D14" s="2"/>
      <c r="E14" s="4">
        <f>C14</f>
        <v>0</v>
      </c>
      <c r="I14" s="16"/>
      <c r="J14" s="16"/>
      <c r="K14" s="16"/>
      <c r="L14" s="16"/>
      <c r="M14" s="16"/>
      <c r="N14" s="16"/>
      <c r="O14" s="16"/>
      <c r="P14" s="16"/>
    </row>
    <row r="15" spans="1:16" x14ac:dyDescent="0.2">
      <c r="D15" s="2"/>
      <c r="G15" t="s">
        <v>22</v>
      </c>
      <c r="I15" s="50">
        <f>I10-I13</f>
        <v>0</v>
      </c>
      <c r="J15" s="50">
        <f t="shared" ref="J15:P15" si="3">J10-J13</f>
        <v>0</v>
      </c>
      <c r="K15" s="50">
        <f t="shared" si="3"/>
        <v>0</v>
      </c>
      <c r="L15" s="51">
        <f t="shared" si="3"/>
        <v>2500</v>
      </c>
      <c r="M15" s="51">
        <f t="shared" si="3"/>
        <v>2500</v>
      </c>
      <c r="N15" s="51">
        <f t="shared" si="3"/>
        <v>2500</v>
      </c>
      <c r="O15" s="51">
        <f t="shared" si="3"/>
        <v>2500</v>
      </c>
      <c r="P15" s="51">
        <f t="shared" si="3"/>
        <v>2500</v>
      </c>
    </row>
    <row r="16" spans="1:16" x14ac:dyDescent="0.2">
      <c r="B16" t="s">
        <v>23</v>
      </c>
      <c r="C16" s="21"/>
      <c r="D16" s="2"/>
      <c r="E16" s="4">
        <f>C16</f>
        <v>0</v>
      </c>
      <c r="G16" t="s">
        <v>24</v>
      </c>
      <c r="I16" s="35"/>
      <c r="J16" s="35"/>
      <c r="K16" s="35"/>
      <c r="L16" s="36"/>
      <c r="M16" s="36"/>
      <c r="N16" s="36"/>
      <c r="O16" s="36"/>
      <c r="P16" s="36"/>
    </row>
    <row r="17" spans="2:16" x14ac:dyDescent="0.2">
      <c r="D17" s="2"/>
      <c r="I17" s="16"/>
      <c r="J17" s="16"/>
      <c r="K17" s="16"/>
      <c r="L17" s="16"/>
      <c r="M17" s="16"/>
      <c r="N17" s="16"/>
      <c r="O17" s="16"/>
      <c r="P17" s="16"/>
    </row>
    <row r="18" spans="2:16" x14ac:dyDescent="0.2">
      <c r="B18" t="s">
        <v>25</v>
      </c>
      <c r="C18" s="21"/>
      <c r="D18" s="2"/>
      <c r="E18" s="4">
        <f>C18</f>
        <v>0</v>
      </c>
      <c r="G18" s="6" t="s">
        <v>26</v>
      </c>
      <c r="H18" s="6"/>
      <c r="I18" s="37">
        <f>SUM(I15:I17)</f>
        <v>0</v>
      </c>
      <c r="J18" s="37">
        <f>SUM(J15:J17)</f>
        <v>0</v>
      </c>
      <c r="K18" s="37">
        <f>SUM(K15:K17)</f>
        <v>0</v>
      </c>
      <c r="L18" s="37">
        <f t="shared" ref="L18:P18" si="4">L15+L17</f>
        <v>2500</v>
      </c>
      <c r="M18" s="37">
        <f t="shared" si="4"/>
        <v>2500</v>
      </c>
      <c r="N18" s="37">
        <f t="shared" si="4"/>
        <v>2500</v>
      </c>
      <c r="O18" s="37">
        <f t="shared" si="4"/>
        <v>2500</v>
      </c>
      <c r="P18" s="37">
        <f t="shared" si="4"/>
        <v>2500</v>
      </c>
    </row>
    <row r="19" spans="2:16" x14ac:dyDescent="0.2">
      <c r="G19" s="15" t="s">
        <v>27</v>
      </c>
      <c r="H19" s="15"/>
      <c r="I19" s="19" t="e">
        <f>I18/I7</f>
        <v>#DIV/0!</v>
      </c>
      <c r="J19" s="19" t="e">
        <f t="shared" ref="J19:P19" si="5">J18/J7</f>
        <v>#DIV/0!</v>
      </c>
      <c r="K19" s="19">
        <f t="shared" si="5"/>
        <v>0</v>
      </c>
      <c r="L19" s="19">
        <f t="shared" si="5"/>
        <v>2.5000000000000001E-2</v>
      </c>
      <c r="M19" s="19">
        <f t="shared" si="5"/>
        <v>2.5000000000000001E-2</v>
      </c>
      <c r="N19" s="19">
        <f t="shared" si="5"/>
        <v>2.5000000000000001E-2</v>
      </c>
      <c r="O19" s="19">
        <f t="shared" si="5"/>
        <v>2.5000000000000001E-2</v>
      </c>
      <c r="P19" s="19">
        <f t="shared" si="5"/>
        <v>2.5000000000000001E-2</v>
      </c>
    </row>
    <row r="20" spans="2:16" x14ac:dyDescent="0.2">
      <c r="B20" t="s">
        <v>28</v>
      </c>
      <c r="E20" s="12">
        <f>E22-SUM(E7:E18)</f>
        <v>4359.375</v>
      </c>
      <c r="I20" s="9"/>
      <c r="J20" s="9"/>
      <c r="K20" s="9"/>
      <c r="L20" s="9"/>
      <c r="M20" s="9"/>
      <c r="N20" s="9"/>
      <c r="O20" s="9"/>
      <c r="P20" s="9"/>
    </row>
    <row r="21" spans="2:16" x14ac:dyDescent="0.2">
      <c r="G21" t="s">
        <v>29</v>
      </c>
      <c r="I21" s="35"/>
      <c r="J21" s="35"/>
      <c r="K21" s="35"/>
      <c r="L21" s="36"/>
      <c r="M21" s="36"/>
      <c r="N21" s="36"/>
      <c r="O21" s="36"/>
      <c r="P21" s="36"/>
    </row>
    <row r="22" spans="2:16" ht="17" thickBot="1" x14ac:dyDescent="0.25">
      <c r="B22" s="6" t="s">
        <v>30</v>
      </c>
      <c r="C22" s="7"/>
      <c r="D22" s="6"/>
      <c r="E22" s="8">
        <f>E34</f>
        <v>15609.375</v>
      </c>
      <c r="G22" t="s">
        <v>31</v>
      </c>
      <c r="I22" s="35"/>
      <c r="J22" s="35"/>
      <c r="K22" s="35"/>
      <c r="L22" s="36">
        <f>-L42</f>
        <v>506.25</v>
      </c>
      <c r="M22" s="36">
        <f t="shared" ref="M22:P22" si="6">-M42</f>
        <v>544.69687499999998</v>
      </c>
      <c r="N22" s="36">
        <f t="shared" si="6"/>
        <v>516.85482656249997</v>
      </c>
      <c r="O22" s="36">
        <f t="shared" si="6"/>
        <v>488.13575359921879</v>
      </c>
      <c r="P22" s="36">
        <f t="shared" si="6"/>
        <v>458.51202983759413</v>
      </c>
    </row>
    <row r="23" spans="2:16" ht="17" thickTop="1" x14ac:dyDescent="0.2">
      <c r="G23" t="s">
        <v>32</v>
      </c>
      <c r="I23" s="38"/>
      <c r="J23" s="38"/>
      <c r="K23" s="38"/>
      <c r="L23" s="39"/>
      <c r="M23" s="39"/>
      <c r="N23" s="39"/>
      <c r="O23" s="39"/>
      <c r="P23" s="39"/>
    </row>
    <row r="24" spans="2:16" x14ac:dyDescent="0.2">
      <c r="B24" s="54" t="s">
        <v>33</v>
      </c>
      <c r="C24" s="54"/>
      <c r="D24" s="54"/>
      <c r="E24" s="54"/>
      <c r="G24" t="s">
        <v>34</v>
      </c>
      <c r="I24" s="40">
        <f>I18-SUM(I21:I23)</f>
        <v>0</v>
      </c>
      <c r="J24" s="40">
        <f>J18-SUM(J21:J23)</f>
        <v>0</v>
      </c>
      <c r="K24" s="40">
        <f>K18-SUM(K21:K23)</f>
        <v>0</v>
      </c>
      <c r="L24" s="40">
        <f t="shared" ref="L24:P24" si="7">L18-SUM(L21:L23)</f>
        <v>1993.75</v>
      </c>
      <c r="M24" s="40">
        <f t="shared" si="7"/>
        <v>1955.3031249999999</v>
      </c>
      <c r="N24" s="40">
        <f t="shared" si="7"/>
        <v>1983.1451734375</v>
      </c>
      <c r="O24" s="40">
        <f t="shared" si="7"/>
        <v>2011.8642464007812</v>
      </c>
      <c r="P24" s="40">
        <f t="shared" si="7"/>
        <v>2041.4879701624059</v>
      </c>
    </row>
    <row r="25" spans="2:16" x14ac:dyDescent="0.2">
      <c r="I25" s="40"/>
      <c r="J25" s="40"/>
      <c r="K25" s="40"/>
      <c r="L25" s="40"/>
      <c r="M25" s="40"/>
      <c r="N25" s="40"/>
      <c r="O25" s="40"/>
      <c r="P25" s="40"/>
    </row>
    <row r="26" spans="2:16" x14ac:dyDescent="0.2">
      <c r="B26" t="s">
        <v>35</v>
      </c>
      <c r="C26" s="21">
        <v>1500</v>
      </c>
      <c r="G26" t="s">
        <v>36</v>
      </c>
      <c r="H26" s="26">
        <v>0.3</v>
      </c>
      <c r="I26" s="41"/>
      <c r="J26" s="41"/>
      <c r="K26" s="41"/>
      <c r="L26" s="42">
        <f>IF($H$26*-L24&lt;0,$H$26*-L24,0)</f>
        <v>-598.125</v>
      </c>
      <c r="M26" s="42">
        <f t="shared" ref="M26:P26" si="8">IF($H$26*-M24&lt;0,$H$26*-M24,0)</f>
        <v>-586.5909375</v>
      </c>
      <c r="N26" s="42">
        <f t="shared" si="8"/>
        <v>-594.94355203124996</v>
      </c>
      <c r="O26" s="42">
        <f t="shared" si="8"/>
        <v>-603.55927392023432</v>
      </c>
      <c r="P26" s="42">
        <f t="shared" si="8"/>
        <v>-612.44639104872169</v>
      </c>
    </row>
    <row r="27" spans="2:16" x14ac:dyDescent="0.2">
      <c r="B27" t="s">
        <v>37</v>
      </c>
      <c r="C27" s="27">
        <v>7</v>
      </c>
      <c r="G27" t="s">
        <v>38</v>
      </c>
      <c r="I27" s="40">
        <f t="shared" ref="I27:P27" si="9">I24+SUM(I26:I26)</f>
        <v>0</v>
      </c>
      <c r="J27" s="40">
        <f t="shared" si="9"/>
        <v>0</v>
      </c>
      <c r="K27" s="40">
        <f t="shared" si="9"/>
        <v>0</v>
      </c>
      <c r="L27" s="40">
        <f t="shared" si="9"/>
        <v>1395.625</v>
      </c>
      <c r="M27" s="40">
        <f t="shared" si="9"/>
        <v>1368.7121874999998</v>
      </c>
      <c r="N27" s="40">
        <f t="shared" si="9"/>
        <v>1388.2016214062501</v>
      </c>
      <c r="O27" s="40">
        <f t="shared" si="9"/>
        <v>1408.3049724805469</v>
      </c>
      <c r="P27" s="40">
        <f t="shared" si="9"/>
        <v>1429.0415791136843</v>
      </c>
    </row>
    <row r="28" spans="2:16" x14ac:dyDescent="0.2">
      <c r="B28" t="s">
        <v>39</v>
      </c>
      <c r="C28" s="22">
        <v>1</v>
      </c>
    </row>
    <row r="29" spans="2:16" x14ac:dyDescent="0.2">
      <c r="B29" t="s">
        <v>40</v>
      </c>
      <c r="C29" s="3">
        <f>IF(C28&lt;1,C26*C27,E30)</f>
        <v>10500</v>
      </c>
    </row>
    <row r="30" spans="2:16" ht="17" thickBot="1" x14ac:dyDescent="0.25">
      <c r="B30" t="s">
        <v>41</v>
      </c>
      <c r="E30" s="3">
        <f>C26*C27*C28</f>
        <v>10500</v>
      </c>
      <c r="G30" s="55" t="s">
        <v>42</v>
      </c>
      <c r="H30" s="55"/>
      <c r="I30" s="55"/>
      <c r="J30" s="55"/>
      <c r="K30" s="55"/>
      <c r="L30" s="55"/>
      <c r="M30" s="55"/>
      <c r="N30" s="55"/>
      <c r="O30" s="55"/>
      <c r="P30" s="55"/>
    </row>
    <row r="31" spans="2:16" x14ac:dyDescent="0.2">
      <c r="B31" t="s">
        <v>43</v>
      </c>
      <c r="E31" s="3">
        <f>(L7-L18)/52*2*1.1</f>
        <v>4125</v>
      </c>
      <c r="G31" t="s">
        <v>35</v>
      </c>
      <c r="I31" s="40">
        <f t="shared" ref="I31:P31" si="10">I18</f>
        <v>0</v>
      </c>
      <c r="J31" s="40">
        <f t="shared" si="10"/>
        <v>0</v>
      </c>
      <c r="K31" s="40">
        <f t="shared" si="10"/>
        <v>0</v>
      </c>
      <c r="L31" s="40">
        <f t="shared" si="10"/>
        <v>2500</v>
      </c>
      <c r="M31" s="40">
        <f t="shared" si="10"/>
        <v>2500</v>
      </c>
      <c r="N31" s="40">
        <f t="shared" si="10"/>
        <v>2500</v>
      </c>
      <c r="O31" s="40">
        <f t="shared" si="10"/>
        <v>2500</v>
      </c>
      <c r="P31" s="40">
        <f t="shared" si="10"/>
        <v>2500</v>
      </c>
    </row>
    <row r="32" spans="2:16" x14ac:dyDescent="0.2">
      <c r="B32" t="s">
        <v>44</v>
      </c>
      <c r="E32" s="3">
        <f>'Transaction Fees'!E17</f>
        <v>984.375</v>
      </c>
      <c r="G32" t="s">
        <v>45</v>
      </c>
      <c r="I32" s="35"/>
      <c r="J32" s="35"/>
      <c r="K32" s="35"/>
      <c r="L32" s="43">
        <v>-500</v>
      </c>
      <c r="M32" s="43">
        <v>-500</v>
      </c>
      <c r="N32" s="43">
        <v>-500</v>
      </c>
      <c r="O32" s="43">
        <v>-500</v>
      </c>
      <c r="P32" s="43">
        <v>-500</v>
      </c>
    </row>
    <row r="33" spans="1:16" x14ac:dyDescent="0.2">
      <c r="G33" t="s">
        <v>46</v>
      </c>
      <c r="I33" s="40"/>
      <c r="J33" s="40"/>
      <c r="K33" s="40"/>
      <c r="L33" s="36">
        <f>SUM($E$7:$E$8)*-L8*0.2</f>
        <v>-250</v>
      </c>
      <c r="M33" s="52">
        <f>(L33*(1+M8)-L33)*0.2</f>
        <v>0</v>
      </c>
      <c r="N33" s="52">
        <f t="shared" ref="N33:P33" si="11">(M33*(1+N8)-M33)*0.2</f>
        <v>0</v>
      </c>
      <c r="O33" s="52">
        <f t="shared" si="11"/>
        <v>0</v>
      </c>
      <c r="P33" s="52">
        <f t="shared" si="11"/>
        <v>0</v>
      </c>
    </row>
    <row r="34" spans="1:16" ht="17" thickBot="1" x14ac:dyDescent="0.25">
      <c r="B34" s="6" t="s">
        <v>47</v>
      </c>
      <c r="C34" s="7"/>
      <c r="D34" s="6"/>
      <c r="E34" s="8">
        <f>SUM(E30:E32)</f>
        <v>15609.375</v>
      </c>
      <c r="G34" t="s">
        <v>36</v>
      </c>
      <c r="H34" s="1"/>
      <c r="I34" s="42">
        <f>I26</f>
        <v>0</v>
      </c>
      <c r="J34" s="42">
        <f t="shared" ref="J34:P34" si="12">J26</f>
        <v>0</v>
      </c>
      <c r="K34" s="42">
        <f t="shared" si="12"/>
        <v>0</v>
      </c>
      <c r="L34" s="42">
        <f t="shared" si="12"/>
        <v>-598.125</v>
      </c>
      <c r="M34" s="42">
        <f t="shared" si="12"/>
        <v>-586.5909375</v>
      </c>
      <c r="N34" s="42">
        <f t="shared" si="12"/>
        <v>-594.94355203124996</v>
      </c>
      <c r="O34" s="42">
        <f t="shared" si="12"/>
        <v>-603.55927392023432</v>
      </c>
      <c r="P34" s="42">
        <f t="shared" si="12"/>
        <v>-612.44639104872169</v>
      </c>
    </row>
    <row r="35" spans="1:16" ht="17" thickTop="1" x14ac:dyDescent="0.2">
      <c r="G35" t="s">
        <v>48</v>
      </c>
      <c r="I35" s="40">
        <f t="shared" ref="I35:K35" si="13">SUM(I31:I34)</f>
        <v>0</v>
      </c>
      <c r="J35" s="40">
        <f t="shared" si="13"/>
        <v>0</v>
      </c>
      <c r="K35" s="40">
        <f t="shared" si="13"/>
        <v>0</v>
      </c>
      <c r="L35" s="40">
        <f>SUM(L31:L34)</f>
        <v>1151.875</v>
      </c>
      <c r="M35" s="40">
        <f t="shared" ref="M35:P35" si="14">SUM(M31:M34)</f>
        <v>1413.4090624999999</v>
      </c>
      <c r="N35" s="40">
        <f t="shared" si="14"/>
        <v>1405.05644796875</v>
      </c>
      <c r="O35" s="40">
        <f t="shared" si="14"/>
        <v>1396.4407260797657</v>
      </c>
      <c r="P35" s="40">
        <f t="shared" si="14"/>
        <v>1387.5536089512784</v>
      </c>
    </row>
    <row r="36" spans="1:16" x14ac:dyDescent="0.2">
      <c r="I36" s="40"/>
      <c r="J36" s="40"/>
      <c r="K36" s="40"/>
      <c r="L36" s="40"/>
      <c r="M36" s="40"/>
      <c r="N36" s="40"/>
      <c r="O36" s="40"/>
      <c r="P36" s="40"/>
    </row>
    <row r="37" spans="1:16" x14ac:dyDescent="0.2">
      <c r="B37" s="54" t="s">
        <v>49</v>
      </c>
      <c r="C37" s="54"/>
      <c r="D37" s="54"/>
      <c r="E37" s="54"/>
      <c r="G37" s="48" t="s">
        <v>50</v>
      </c>
      <c r="H37" s="28"/>
      <c r="I37" s="44"/>
      <c r="J37" s="44"/>
      <c r="K37" s="44"/>
      <c r="L37" s="44"/>
      <c r="M37" s="44"/>
      <c r="N37" s="44"/>
      <c r="O37" s="44"/>
      <c r="P37" s="44"/>
    </row>
    <row r="38" spans="1:16" x14ac:dyDescent="0.2">
      <c r="G38" s="6" t="s">
        <v>51</v>
      </c>
      <c r="I38" s="40"/>
      <c r="J38" s="40"/>
      <c r="K38" s="40"/>
      <c r="L38" s="40"/>
      <c r="M38" s="40"/>
      <c r="N38" s="40"/>
      <c r="O38" s="40"/>
      <c r="P38" s="40"/>
    </row>
    <row r="39" spans="1:16" x14ac:dyDescent="0.2">
      <c r="B39" t="s">
        <v>52</v>
      </c>
      <c r="C39" s="3">
        <f>P31</f>
        <v>2500</v>
      </c>
      <c r="G39" s="20" t="s">
        <v>53</v>
      </c>
      <c r="H39" s="23">
        <v>4.4999999999999998E-2</v>
      </c>
      <c r="I39" s="40"/>
      <c r="J39" s="40"/>
      <c r="K39" s="40"/>
      <c r="L39" s="36">
        <f>-SUM(E7:E9)*H39</f>
        <v>-506.25</v>
      </c>
      <c r="M39" s="36">
        <f>-AVERAGE(L57)*$H$39</f>
        <v>-544.69687499999998</v>
      </c>
      <c r="N39" s="36">
        <f>-AVERAGE(M57)*$H$39</f>
        <v>-516.85482656249997</v>
      </c>
      <c r="O39" s="36">
        <f>-AVERAGE(N57)*$H$39</f>
        <v>-488.13575359921879</v>
      </c>
      <c r="P39" s="36">
        <f>-AVERAGE(O57)*$H$39</f>
        <v>-458.51202983759413</v>
      </c>
    </row>
    <row r="40" spans="1:16" x14ac:dyDescent="0.2">
      <c r="B40" t="s">
        <v>54</v>
      </c>
      <c r="C40" s="27">
        <v>6</v>
      </c>
      <c r="G40" s="20" t="s">
        <v>55</v>
      </c>
      <c r="H40" s="23">
        <v>5.5E-2</v>
      </c>
      <c r="I40" s="40"/>
      <c r="J40" s="40"/>
      <c r="K40" s="40"/>
      <c r="L40" s="36">
        <f>-SUM($E$11:$E$12)*$H$40</f>
        <v>0</v>
      </c>
      <c r="M40" s="36">
        <f>-(SUM($E$11:$E$12)+L45)*$H$40</f>
        <v>0</v>
      </c>
      <c r="N40" s="36">
        <f>-(SUM($E$11:$E$12)+L45+M45)*$H$40</f>
        <v>0</v>
      </c>
      <c r="O40" s="36">
        <f>-(SUM($E$11:$E$12)+L45+M45+N45)*$H$40</f>
        <v>0</v>
      </c>
      <c r="P40" s="36">
        <f>-(SUM($E$11:$E$12)+L45+M45+N45+O45)*$H$40</f>
        <v>0</v>
      </c>
    </row>
    <row r="41" spans="1:16" x14ac:dyDescent="0.2">
      <c r="B41" s="6" t="s">
        <v>56</v>
      </c>
      <c r="C41" s="7">
        <f>C39*C40</f>
        <v>15000</v>
      </c>
      <c r="G41" s="20" t="s">
        <v>21</v>
      </c>
      <c r="H41" s="24">
        <v>0.05</v>
      </c>
      <c r="I41" s="40"/>
      <c r="J41" s="40"/>
      <c r="K41" s="40"/>
      <c r="L41" s="39">
        <f>-$E$14*H41</f>
        <v>0</v>
      </c>
      <c r="M41" s="39">
        <f>-(SUM($E$14)+L46)*$H$41</f>
        <v>0</v>
      </c>
      <c r="N41" s="39">
        <f>-(SUM($E$14)+L46+M46)*$H$41</f>
        <v>0</v>
      </c>
      <c r="O41" s="39">
        <f>-(SUM($E$14)+L46+M46+N46)*$H$41</f>
        <v>0</v>
      </c>
      <c r="P41" s="39">
        <f>-(SUM($E$14)+L46+M46+N46+O46)*$H$41</f>
        <v>0</v>
      </c>
    </row>
    <row r="42" spans="1:16" x14ac:dyDescent="0.2">
      <c r="B42" s="29" t="s">
        <v>57</v>
      </c>
      <c r="C42" s="3">
        <f>SUM(L56:P56)</f>
        <v>0</v>
      </c>
      <c r="G42" s="20" t="s">
        <v>58</v>
      </c>
      <c r="I42" s="40"/>
      <c r="J42" s="40"/>
      <c r="K42" s="40"/>
      <c r="L42" s="36">
        <f>SUM(L39:L41)</f>
        <v>-506.25</v>
      </c>
      <c r="M42" s="36">
        <f t="shared" ref="M42:P42" si="15">SUM(M39:M41)</f>
        <v>-544.69687499999998</v>
      </c>
      <c r="N42" s="36">
        <f t="shared" si="15"/>
        <v>-516.85482656249997</v>
      </c>
      <c r="O42" s="36">
        <f t="shared" si="15"/>
        <v>-488.13575359921879</v>
      </c>
      <c r="P42" s="36">
        <f t="shared" si="15"/>
        <v>-458.51202983759413</v>
      </c>
    </row>
    <row r="43" spans="1:16" x14ac:dyDescent="0.2">
      <c r="B43" s="29" t="s">
        <v>59</v>
      </c>
      <c r="C43" s="3">
        <f>-P57</f>
        <v>-9510.1146394995194</v>
      </c>
      <c r="I43" s="40"/>
      <c r="J43" s="40"/>
      <c r="K43" s="40"/>
      <c r="L43" s="36"/>
      <c r="M43" s="36"/>
      <c r="N43" s="36"/>
      <c r="O43" s="36"/>
      <c r="P43" s="36"/>
    </row>
    <row r="44" spans="1:16" x14ac:dyDescent="0.2">
      <c r="A44" s="24">
        <v>0.03</v>
      </c>
      <c r="B44" s="29" t="s">
        <v>61</v>
      </c>
      <c r="C44" s="31">
        <f>-A44*C41</f>
        <v>-450</v>
      </c>
      <c r="G44" s="6" t="s">
        <v>60</v>
      </c>
      <c r="H44" s="14" t="s">
        <v>62</v>
      </c>
      <c r="I44" s="40"/>
      <c r="J44" s="40"/>
      <c r="K44" s="40"/>
      <c r="L44" s="36"/>
      <c r="M44" s="36"/>
      <c r="N44" s="36"/>
      <c r="O44" s="36"/>
      <c r="P44" s="36"/>
    </row>
    <row r="45" spans="1:16" x14ac:dyDescent="0.2">
      <c r="B45" s="6" t="s">
        <v>63</v>
      </c>
      <c r="C45" s="7">
        <f>SUM(C41:C44)</f>
        <v>5039.8853605004806</v>
      </c>
      <c r="G45" s="20" t="s">
        <v>55</v>
      </c>
      <c r="H45" s="25">
        <v>3</v>
      </c>
      <c r="I45" s="40"/>
      <c r="J45" s="40"/>
      <c r="K45" s="40"/>
      <c r="L45" s="36">
        <f>-SUM(E11:E12)/$H$45</f>
        <v>0</v>
      </c>
      <c r="M45" s="36">
        <f>IF((SUM($E$11:$E$12)+L45)&gt;0,-SUM($E$11:$E$12)/$H$45,0)</f>
        <v>0</v>
      </c>
      <c r="N45" s="36">
        <f>IF((SUM($E$11:$E$12)+L45+M45)&gt;0,-SUM($E$11:$E$12)/$H$45,0)</f>
        <v>0</v>
      </c>
      <c r="O45" s="36">
        <f>IF((SUM($E$11:$E$12)+L45+M45+N45)&gt;0,-SUM($E$11:$E$12)/$H$45,0)</f>
        <v>0</v>
      </c>
      <c r="P45" s="36">
        <f>IF((SUM($E$11:$E$12)+L45+M45+N45+O45)&gt;0,-SUM($E$11:$E$12)/$H$45,0)</f>
        <v>0</v>
      </c>
    </row>
    <row r="46" spans="1:16" x14ac:dyDescent="0.2">
      <c r="G46" s="20" t="s">
        <v>21</v>
      </c>
      <c r="H46" s="25">
        <v>4</v>
      </c>
      <c r="I46" s="40"/>
      <c r="J46" s="40"/>
      <c r="K46" s="40"/>
      <c r="L46" s="39">
        <f>-SUM(E14)/$H$46</f>
        <v>0</v>
      </c>
      <c r="M46" s="39">
        <f>IF((SUM($E$14)+L46)&gt;0,-SUM($E$14)/$H$46,0)</f>
        <v>0</v>
      </c>
      <c r="N46" s="39">
        <f>IF((SUM($E$14)+L46+M46)&gt;0,-SUM($E$14)/$H$46,0)</f>
        <v>0</v>
      </c>
      <c r="O46" s="39">
        <f>IF((SUM($E$14)+L46+M46+N46)&gt;0,-SUM($E$14)/$H$46,0)</f>
        <v>0</v>
      </c>
      <c r="P46" s="39">
        <f>IF((SUM($E$14)+L46+M46+N46+O46)&gt;0,-SUM($E$14)/$H$46,0)</f>
        <v>0</v>
      </c>
    </row>
    <row r="47" spans="1:16" x14ac:dyDescent="0.2">
      <c r="A47" s="24">
        <v>0.05</v>
      </c>
      <c r="B47" t="s">
        <v>64</v>
      </c>
      <c r="C47" s="31">
        <f>-A47*C45</f>
        <v>-251.99426802502404</v>
      </c>
      <c r="G47" s="6" t="s">
        <v>65</v>
      </c>
      <c r="H47" s="6"/>
      <c r="I47" s="45"/>
      <c r="J47" s="45"/>
      <c r="K47" s="45"/>
      <c r="L47" s="37">
        <f>SUM(L42:L46)</f>
        <v>-506.25</v>
      </c>
      <c r="M47" s="37">
        <f t="shared" ref="M47:P47" si="16">SUM(M42:M46)</f>
        <v>-544.69687499999998</v>
      </c>
      <c r="N47" s="37">
        <f t="shared" si="16"/>
        <v>-516.85482656249997</v>
      </c>
      <c r="O47" s="37">
        <f t="shared" si="16"/>
        <v>-488.13575359921879</v>
      </c>
      <c r="P47" s="37">
        <f t="shared" si="16"/>
        <v>-458.51202983759413</v>
      </c>
    </row>
    <row r="48" spans="1:16" x14ac:dyDescent="0.2">
      <c r="B48" s="6" t="s">
        <v>66</v>
      </c>
      <c r="C48" s="7">
        <f>SUM(C45:C47)</f>
        <v>4787.8910924754564</v>
      </c>
      <c r="I48" s="40"/>
      <c r="J48" s="40"/>
      <c r="K48" s="40"/>
      <c r="L48" s="40"/>
      <c r="M48" s="40"/>
      <c r="N48" s="40"/>
      <c r="O48" s="40"/>
      <c r="P48" s="40"/>
    </row>
    <row r="49" spans="1:16" x14ac:dyDescent="0.2">
      <c r="B49" s="6" t="s">
        <v>67</v>
      </c>
      <c r="C49" s="7">
        <f>C48*C28</f>
        <v>4787.8910924754564</v>
      </c>
      <c r="G49" s="48" t="s">
        <v>88</v>
      </c>
      <c r="H49" s="28"/>
      <c r="I49" s="44"/>
      <c r="J49" s="44"/>
      <c r="K49" s="44"/>
      <c r="L49" s="44"/>
      <c r="M49" s="44"/>
      <c r="N49" s="44"/>
      <c r="O49" s="44"/>
      <c r="P49" s="44"/>
    </row>
    <row r="50" spans="1:16" ht="17" thickBot="1" x14ac:dyDescent="0.25">
      <c r="G50" s="6" t="s">
        <v>68</v>
      </c>
      <c r="H50" s="6"/>
      <c r="I50" s="45"/>
      <c r="J50" s="45"/>
      <c r="K50" s="45"/>
      <c r="L50" s="46">
        <f>L35+L47</f>
        <v>645.625</v>
      </c>
      <c r="M50" s="46">
        <f>M35+M47</f>
        <v>868.71218749999991</v>
      </c>
      <c r="N50" s="46">
        <f>N35+N47</f>
        <v>888.20162140625007</v>
      </c>
      <c r="O50" s="46">
        <f>O35+O47</f>
        <v>908.30497248054689</v>
      </c>
      <c r="P50" s="46">
        <f>P35+P47</f>
        <v>929.04157911368429</v>
      </c>
    </row>
    <row r="51" spans="1:16" ht="17" thickTop="1" x14ac:dyDescent="0.2">
      <c r="B51" s="54" t="s">
        <v>69</v>
      </c>
      <c r="C51" s="54"/>
      <c r="D51" s="14"/>
      <c r="E51" s="47" t="s">
        <v>70</v>
      </c>
    </row>
    <row r="52" spans="1:16" x14ac:dyDescent="0.2">
      <c r="A52" s="24">
        <v>0.08</v>
      </c>
      <c r="B52" t="s">
        <v>71</v>
      </c>
      <c r="C52" s="3">
        <f>A52*E20*5</f>
        <v>1743.75</v>
      </c>
      <c r="G52" t="s">
        <v>87</v>
      </c>
      <c r="L52" s="53"/>
      <c r="M52" s="53"/>
      <c r="N52" s="53"/>
      <c r="O52" s="53"/>
      <c r="P52" s="53"/>
    </row>
    <row r="53" spans="1:16" x14ac:dyDescent="0.2">
      <c r="B53" t="s">
        <v>73</v>
      </c>
      <c r="C53" s="3">
        <f>E20</f>
        <v>4359.375</v>
      </c>
      <c r="G53" t="s">
        <v>72</v>
      </c>
      <c r="L53" s="43">
        <v>-250</v>
      </c>
      <c r="M53" s="43">
        <v>-250</v>
      </c>
      <c r="N53" s="43">
        <v>-250</v>
      </c>
      <c r="O53" s="43">
        <v>-250</v>
      </c>
      <c r="P53" s="43">
        <v>-250</v>
      </c>
    </row>
    <row r="54" spans="1:16" x14ac:dyDescent="0.2">
      <c r="A54" s="24">
        <v>0.75</v>
      </c>
      <c r="B54" t="s">
        <v>74</v>
      </c>
      <c r="C54" s="31">
        <f>(C49-SUM(C52:C53))*A54</f>
        <v>-986.42543064340771</v>
      </c>
      <c r="E54" s="32">
        <f>C49-C52-C53-C54</f>
        <v>-328.8084768811359</v>
      </c>
      <c r="G54" s="6" t="s">
        <v>91</v>
      </c>
      <c r="H54" s="6"/>
      <c r="I54" s="6"/>
      <c r="J54" s="6"/>
      <c r="K54" s="6"/>
      <c r="L54" s="45">
        <f>L50+L53+L52</f>
        <v>395.625</v>
      </c>
      <c r="M54" s="45">
        <f t="shared" ref="M54:P54" si="17">M50+M53+M52</f>
        <v>618.71218749999991</v>
      </c>
      <c r="N54" s="45">
        <f t="shared" si="17"/>
        <v>638.20162140625007</v>
      </c>
      <c r="O54" s="45">
        <f t="shared" si="17"/>
        <v>658.30497248054689</v>
      </c>
      <c r="P54" s="45">
        <f t="shared" si="17"/>
        <v>679.04157911368429</v>
      </c>
    </row>
    <row r="55" spans="1:16" x14ac:dyDescent="0.2">
      <c r="B55" s="6" t="s">
        <v>75</v>
      </c>
      <c r="C55" s="7">
        <f>SUM(C52:C54)</f>
        <v>5116.6995693565923</v>
      </c>
      <c r="D55" s="6"/>
      <c r="E55" s="7">
        <f>SUM(E52:E54)</f>
        <v>-328.8084768811359</v>
      </c>
      <c r="G55" t="s">
        <v>90</v>
      </c>
      <c r="L55" s="36">
        <f>IF(K57&gt;L54,-MAX(L54),-K57)</f>
        <v>-395.625</v>
      </c>
      <c r="M55" s="36">
        <f>IF(L57&gt;M54,-MAX(M54),-L57)</f>
        <v>-618.71218749999991</v>
      </c>
      <c r="N55" s="36">
        <f>IF(M57&gt;N54,-MAX(N54),-M57)</f>
        <v>-638.20162140625007</v>
      </c>
      <c r="O55" s="36">
        <f>IF(N57&gt;O54,-MAX(O54),-N57)</f>
        <v>-658.30497248054689</v>
      </c>
      <c r="P55" s="36">
        <f>IF(O57&gt;P54,-MAX(P54),-O57)</f>
        <v>-679.04157911368429</v>
      </c>
    </row>
    <row r="56" spans="1:16" x14ac:dyDescent="0.2">
      <c r="G56" t="s">
        <v>89</v>
      </c>
      <c r="L56" s="40">
        <f>SUM(L54:L55)</f>
        <v>0</v>
      </c>
      <c r="M56" s="40">
        <f>SUM(M54:M55)</f>
        <v>0</v>
      </c>
      <c r="N56" s="40">
        <f>SUM(N54:N55)</f>
        <v>0</v>
      </c>
      <c r="O56" s="40">
        <f>SUM(O54:O55)</f>
        <v>0</v>
      </c>
      <c r="P56" s="40">
        <f>SUM(P54:P55)</f>
        <v>0</v>
      </c>
    </row>
    <row r="57" spans="1:16" x14ac:dyDescent="0.2">
      <c r="B57" s="6" t="s">
        <v>77</v>
      </c>
      <c r="C57" s="18">
        <f>SUM(C52:C54)/E20</f>
        <v>1.1737231987054548</v>
      </c>
      <c r="G57" t="s">
        <v>76</v>
      </c>
      <c r="K57" s="36">
        <f>SUM(E7:E8)</f>
        <v>11250</v>
      </c>
      <c r="L57" s="40">
        <f>(K57*L8)+K57+L55</f>
        <v>12104.375</v>
      </c>
      <c r="M57" s="40">
        <f>(L57*M8)+L57+M55</f>
        <v>11485.662812500001</v>
      </c>
      <c r="N57" s="40">
        <f>(M57*N8)+M57+N55</f>
        <v>10847.461191093751</v>
      </c>
      <c r="O57" s="40">
        <f>(N57*O8)+N57+O55</f>
        <v>10189.156218613203</v>
      </c>
      <c r="P57" s="40">
        <f>(O57*P8)+O57+P55</f>
        <v>9510.1146394995194</v>
      </c>
    </row>
    <row r="58" spans="1:16" x14ac:dyDescent="0.2">
      <c r="G58" s="6" t="s">
        <v>78</v>
      </c>
      <c r="H58" s="6"/>
      <c r="I58" s="6"/>
      <c r="J58" s="6"/>
      <c r="K58" s="6"/>
      <c r="L58" s="49">
        <f>(L31+L32+L34+L53)/-L47</f>
        <v>2.2753086419753088</v>
      </c>
      <c r="M58" s="49">
        <f>(M31+M32+M34+M53)/-M47</f>
        <v>2.1358834902440003</v>
      </c>
      <c r="N58" s="49">
        <f>(N31+N32+N34+N53)/-N47</f>
        <v>2.2347792621978666</v>
      </c>
      <c r="O58" s="49">
        <f>(O31+O32+O34+O53)/-O47</f>
        <v>2.3486104380320492</v>
      </c>
      <c r="P58" s="49">
        <f>(P31+P32+P34+P53)/-P47</f>
        <v>2.4809678589113622</v>
      </c>
    </row>
  </sheetData>
  <mergeCells count="5">
    <mergeCell ref="B4:E4"/>
    <mergeCell ref="G30:P30"/>
    <mergeCell ref="B37:E37"/>
    <mergeCell ref="B51:C51"/>
    <mergeCell ref="B24:E24"/>
  </mergeCells>
  <pageMargins left="0.25" right="0.25" top="0.75" bottom="0.75" header="0.3" footer="0.3"/>
  <pageSetup scale="51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FBE5-F13D-374C-8D53-4893F57A2884}">
  <dimension ref="C4:E17"/>
  <sheetViews>
    <sheetView workbookViewId="0">
      <selection activeCell="E6" sqref="E6"/>
    </sheetView>
  </sheetViews>
  <sheetFormatPr baseColWidth="10" defaultColWidth="11" defaultRowHeight="16" x14ac:dyDescent="0.2"/>
  <cols>
    <col min="3" max="3" width="18.83203125" customWidth="1"/>
    <col min="4" max="4" width="11.5" bestFit="1" customWidth="1"/>
    <col min="5" max="5" width="13" customWidth="1"/>
  </cols>
  <sheetData>
    <row r="4" spans="3:5" x14ac:dyDescent="0.2">
      <c r="C4" t="s">
        <v>79</v>
      </c>
    </row>
    <row r="6" spans="3:5" x14ac:dyDescent="0.2">
      <c r="C6" t="s">
        <v>53</v>
      </c>
      <c r="D6" s="10">
        <v>7.4999999999999997E-3</v>
      </c>
      <c r="E6" s="4">
        <f>D6*SUM(Sheet1!E7:E9)</f>
        <v>84.375</v>
      </c>
    </row>
    <row r="8" spans="3:5" x14ac:dyDescent="0.2">
      <c r="C8" t="s">
        <v>55</v>
      </c>
      <c r="D8" s="10">
        <v>7.4999999999999997E-3</v>
      </c>
      <c r="E8" s="4">
        <f>D8*SUM(Sheet1!E11:E12)</f>
        <v>0</v>
      </c>
    </row>
    <row r="10" spans="3:5" x14ac:dyDescent="0.2">
      <c r="C10" t="s">
        <v>80</v>
      </c>
      <c r="E10" s="9">
        <v>250</v>
      </c>
    </row>
    <row r="11" spans="3:5" x14ac:dyDescent="0.2">
      <c r="C11" t="s">
        <v>81</v>
      </c>
      <c r="E11" s="9">
        <v>125</v>
      </c>
    </row>
    <row r="12" spans="3:5" x14ac:dyDescent="0.2">
      <c r="C12" t="s">
        <v>82</v>
      </c>
      <c r="E12" s="9">
        <v>50</v>
      </c>
    </row>
    <row r="13" spans="3:5" x14ac:dyDescent="0.2">
      <c r="C13" t="s">
        <v>83</v>
      </c>
      <c r="E13" s="9">
        <v>75</v>
      </c>
    </row>
    <row r="14" spans="3:5" x14ac:dyDescent="0.2">
      <c r="C14" t="s">
        <v>84</v>
      </c>
      <c r="E14" s="9">
        <v>300</v>
      </c>
    </row>
    <row r="15" spans="3:5" x14ac:dyDescent="0.2">
      <c r="C15" t="s">
        <v>85</v>
      </c>
      <c r="E15" s="9">
        <v>100</v>
      </c>
    </row>
    <row r="17" spans="5:5" x14ac:dyDescent="0.2">
      <c r="E17" s="4">
        <f>SUM(E6:E16)</f>
        <v>984.375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Transaction Fees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Stanley Huang</cp:lastModifiedBy>
  <cp:revision/>
  <dcterms:created xsi:type="dcterms:W3CDTF">2022-03-30T15:32:27Z</dcterms:created>
  <dcterms:modified xsi:type="dcterms:W3CDTF">2025-10-28T15:09:13Z</dcterms:modified>
  <cp:category/>
  <cp:contentStatus/>
</cp:coreProperties>
</file>